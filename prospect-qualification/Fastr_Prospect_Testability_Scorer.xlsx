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rospect Scorer" sheetId="2" state="visible" r:id="rId4"/>
    <sheet name="Customer Tiers" sheetId="3" state="visible" r:id="rId5"/>
    <sheet name="Volume Requirements" sheetId="4" state="visible" r:id="rId6"/>
    <sheet name="Single Calculator" sheetId="5" state="visible" r:id="rId7"/>
    <sheet name="Assumptions" sheetId="6" state="visible" r:id="rId8"/>
  </sheets>
  <definedNames>
    <definedName function="false" hidden="true" localSheetId="1" name="_xlnm._FilterDatabase" vbProcedure="false">'Prospect Scorer'!$A$4:$U$154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Best input: online orders per month (de-duplicated). Converted to buyers with orders-per-buyer (1.1).</t>
        </r>
      </text>
    </comment>
    <comment ref="D4" authorId="0">
      <text>
        <r>
          <rPr>
            <sz val="10"/>
            <rFont val="Arial"/>
            <family val="2"/>
          </rPr>
          <t xml:space="preserve">Unique visitors per month (people, not sessions). Sessions overstate reach ~1.5–2×.</t>
        </r>
      </text>
    </comment>
    <comment ref="H4" authorId="0">
      <text>
        <r>
          <rPr>
            <sz val="10"/>
            <rFont val="Arial"/>
            <family val="2"/>
          </rPr>
          <t xml:space="preserve">Optional: weekly count of a high-volume goal (CTA clicks, lead/appointment submits). Lets a low-order site qualify for micro-conversion tests.</t>
        </r>
      </text>
    </comment>
  </commentList>
</comments>
</file>

<file path=xl/sharedStrings.xml><?xml version="1.0" encoding="utf-8"?>
<sst xmlns="http://schemas.openxmlformats.org/spreadsheetml/2006/main" count="379" uniqueCount="289">
  <si>
    <t xml:space="preserve">Fastr Optimize — Prospect Testability Scorer (v3)</t>
  </si>
  <si>
    <t xml:space="preserve">Just because we can test doesn't mean we can test efficiently. The bar: a purchase test that reads at 95% confidence in 2–3 weeks.</t>
  </si>
  <si>
    <t xml:space="preserve">WHAT V3 IS BASED ON</t>
  </si>
  <si>
    <t xml:space="preserve">Every Workspace customer</t>
  </si>
  <si>
    <t xml:space="preserve">All 228 PostHog projects scanned (30 days to 4 Oct 2026). 48 had Workspace data; 28 had usable visitor + purchase data and are tiered on the 'Customer Tiers' tab.</t>
  </si>
  <si>
    <t xml:space="preserve">The result</t>
  </si>
  <si>
    <t xml:space="preserve">5 customers clear the fast bar (Express, Bonobos, AG Jeans, JR Cigars, The Sak). 4 are Tier 2, 2 are Tier 3, and 17 cannot read a purchase test in 3 weeks.</t>
  </si>
  <si>
    <t xml:space="preserve">Method</t>
  </si>
  <si>
    <t xml:space="preserve">Same as the Feasibility by Client workbook: unique people (not sessions), conversion = converting visitors ÷ visitors, orders de-duplicated on transaction id, sub-linear reach V(t) ∝ t^b.</t>
  </si>
  <si>
    <t xml:space="preserve">HOW TO USE</t>
  </si>
  <si>
    <t xml:space="preserve">1. Score prospects</t>
  </si>
  <si>
    <t xml:space="preserve">'Prospect Scorer': enter what you know. Monthly orders + monthly unique visitors is best. Revenue alone uses the vertical AOV; traffic alone uses the vertical conversion rate (both measured in PostHog).</t>
  </si>
  <si>
    <t xml:space="preserve">2. Know the bar</t>
  </si>
  <si>
    <t xml:space="preserve">'Volume Requirements': the monthly visitors, monthly/weekly orders and annual revenue each tier needs, by conversion rate and AOV.</t>
  </si>
  <si>
    <t xml:space="preserve">3. Discovery calls</t>
  </si>
  <si>
    <t xml:space="preserve">'Single Calculator': one prospect at a time.</t>
  </si>
  <si>
    <t xml:space="preserve">CELL LEGEND</t>
  </si>
  <si>
    <t xml:space="preserve">Blue text, grey fill</t>
  </si>
  <si>
    <t xml:space="preserve">Input — edit these.</t>
  </si>
  <si>
    <t xml:space="preserve">Black text</t>
  </si>
  <si>
    <t xml:space="preserve">Formula — do not overwrite.</t>
  </si>
  <si>
    <t xml:space="preserve">TIERS</t>
  </si>
  <si>
    <t xml:space="preserve">Tier 1 — Pursue</t>
  </si>
  <si>
    <t xml:space="preserve">A 5% lift reads in ≤ 2 weeks ('Tier 1 (3-wk)' if it takes up to 3). Fast, precise programme. Offer the trial.</t>
  </si>
  <si>
    <t xml:space="preserve">Tier 2 — Qualify</t>
  </si>
  <si>
    <t xml:space="preserve">Only a 10% lift reads within 3 weeks. Bold, funnel-wide tests only. Trial with a scoped plan.</t>
  </si>
  <si>
    <t xml:space="preserve">Tier 3 — Deprioritise</t>
  </si>
  <si>
    <t xml:space="preserve">Only a 20% lift reads within 3 weeks. Most real wins will be invisible.</t>
  </si>
  <si>
    <t xml:space="preserve">Not a fit</t>
  </si>
  <si>
    <t xml:space="preserve">Purchase tests cannot read in 3 weeks. Don't trial A/B — unless tests can be scored on a high-volume micro-conversion (the Ethan Allen model).</t>
  </si>
  <si>
    <t xml:space="preserve">THE MATH</t>
  </si>
  <si>
    <t xml:space="preserve">Visitors per arm</t>
  </si>
  <si>
    <t xml:space="preserve">n = (z₁₋α/₂ + z₁₋β)² × [p₁(1−p₁) + p₂(1−p₂)] ÷ (p₂ − p₁)², p₂ = p₁ × (1 + lift).</t>
  </si>
  <si>
    <t xml:space="preserve">Weeks to read</t>
  </si>
  <si>
    <t xml:space="preserve">Unique visitors grow sub-linearly: V(t) = V(14) × (t/14)^b. Weeks = 14 × (2n ÷ share ÷ V(14))^(1/b) ÷ 7.</t>
  </si>
  <si>
    <t xml:space="preserve">REFERENCES</t>
  </si>
  <si>
    <t xml:space="preserve">Sample size / power</t>
  </si>
  <si>
    <t xml:space="preserve">Evan Miller — https://www.evanmiller.org/ab-testing/sample-size.html  |  https://www.evanmiller.org/how-not-to-run-an-ab-test.html</t>
  </si>
  <si>
    <t xml:space="preserve">Companion workbooks</t>
  </si>
  <si>
    <t xml:space="preserve">Fastr Experiment Feasibility by Client (template-level detail), AB-Test Sample-Size Calculator (single test design), Conversion Lift Opportunity Model ($ value).</t>
  </si>
  <si>
    <t xml:space="preserve">Caveats</t>
  </si>
  <si>
    <t xml:space="preserve">PostHog counts only what Fastr tracks — some customers' totals may be higher. Shopify-webhook purchases (AG Jeans, The Sak, Omnicheer, GK Elite) need the cart-token bridge before purchase tests can be attributed.</t>
  </si>
  <si>
    <t xml:space="preserve">Prospect Scorer</t>
  </si>
  <si>
    <t xml:space="preserve">Fill the blue columns you know. Best: monthly orders + monthly unique visitors. Orders beat revenue; visitors beat the vertical conversion rate. Tier = can a purchase test read a 5% / 10% / 20% lift at 95% confidence within 2–3 weeks?</t>
  </si>
  <si>
    <t xml:space="preserve">Company</t>
  </si>
  <si>
    <t xml:space="preserve">Vertical</t>
  </si>
  <si>
    <t xml:space="preserve">Monthly Online Orders</t>
  </si>
  <si>
    <t xml:space="preserve">Monthly Unique Visitors</t>
  </si>
  <si>
    <t xml:space="preserve">Annual US Digital Revenue ($M)</t>
  </si>
  <si>
    <t xml:space="preserve">AOV ($)</t>
  </si>
  <si>
    <t xml:space="preserve">Conversion Rate (optional)</t>
  </si>
  <si>
    <t xml:space="preserve">Weekly Micro-conversions (optional)</t>
  </si>
  <si>
    <t xml:space="preserve">Data Source / Notes</t>
  </si>
  <si>
    <t xml:space="preserve">Basis</t>
  </si>
  <si>
    <t xml:space="preserve">AOV Used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</si>
  <si>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</si>
  <si>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</si>
  <si>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</si>
  <si>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</si>
  <si>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5%</t>
  </si>
  <si>
    <t xml:space="preserve">Weeks to Read 10%</t>
  </si>
  <si>
    <t xml:space="preserve">Weeks to Read 20%</t>
  </si>
  <si>
    <t xml:space="preserve">Tier</t>
  </si>
  <si>
    <t xml:space="preserve">Recommended Action</t>
  </si>
  <si>
    <t xml:space="preserve">Annual Online Revenue ($M, est.)</t>
  </si>
  <si>
    <t xml:space="preserve">Pipeline</t>
  </si>
  <si>
    <t xml:space="preserve">Count</t>
  </si>
  <si>
    <t xml:space="preserve">Example — known orders + traffic</t>
  </si>
  <si>
    <t xml:space="preserve">Apparel &amp; accessories</t>
  </si>
  <si>
    <t xml:space="preserve">Prospect-shared Shopify + GA4 (illustrative)</t>
  </si>
  <si>
    <t xml:space="preserve">Tier 1</t>
  </si>
  <si>
    <t xml:space="preserve">Example — revenue only</t>
  </si>
  <si>
    <t xml:space="preserve">Furniture</t>
  </si>
  <si>
    <t xml:space="preserve">Public revenue; vertical AOV/CVR from PostHog (illustrative)</t>
  </si>
  <si>
    <t xml:space="preserve">Tier 2</t>
  </si>
  <si>
    <t xml:space="preserve">Example — traffic only</t>
  </si>
  <si>
    <t xml:space="preserve">Cigars &amp; specialty consumables</t>
  </si>
  <si>
    <t xml:space="preserve">Similarweb estimate (illustrative)</t>
  </si>
  <si>
    <t xml:space="preserve">Tier 3</t>
  </si>
  <si>
    <t xml:space="preserve">Customer Tiers — every Fastr Workspace customer, measured in PostHog</t>
  </si>
  <si>
    <t xml:space="preserve">Trailing 30 days to 4 Oct 2026. Unique visitors = people with a real page view (bots excluded); buyers = converting people; orders de-duplicated on transaction id. Weeks are for a purchase test on the whole site at 95% confidence / 80% power. 228 projects scanned; 48 had data; 28 have usable visitor + purchase data.</t>
  </si>
  <si>
    <t xml:space="preserve">Customer</t>
  </si>
  <si>
    <t xml:space="preserve">Host</t>
  </si>
  <si>
    <t xml:space="preserve">Visitors 30d</t>
  </si>
  <si>
    <t xml:space="preserve">Visitors 14d</t>
  </si>
  <si>
    <t xml:space="preserve">Visitors 7d</t>
  </si>
  <si>
    <t xml:space="preserve">Buyers 30d</t>
  </si>
  <si>
    <t xml:space="preserve">Buyers 14d</t>
  </si>
  <si>
    <t xml:space="preserve">Orders 30d</t>
  </si>
  <si>
    <t xml:space="preserve">Purchase source</t>
  </si>
  <si>
    <t xml:space="preserve">Conv. Rate (14d)</t>
  </si>
  <si>
    <t xml:space="preserve">Reach b</t>
  </si>
  <si>
    <t xml:space="preserve">Buyers / Week</t>
  </si>
  <si>
    <t xml:space="preserve">Orders / Week (14d)</t>
  </si>
  <si>
    <t xml:space="preserve">Weeks: 5%</t>
  </si>
  <si>
    <t xml:space="preserve">Weeks: 10%</t>
  </si>
  <si>
    <t xml:space="preserve">Weeks: 20%</t>
  </si>
  <si>
    <t xml:space="preserve">Online Rev ($M/yr, tracked)</t>
  </si>
  <si>
    <t xml:space="preserve">Notes</t>
  </si>
  <si>
    <t xml:space="preserve">Express</t>
  </si>
  <si>
    <t xml:space="preserve">stores.expressfactoryoutlet.com</t>
  </si>
  <si>
    <t xml:space="preserve">Fastr event</t>
  </si>
  <si>
    <t xml:space="preserve">FAST tester (confirmed). Purchases flagged as bots by PostHog — counted without the bot filter. Tracked revenue likely below total online sales.</t>
  </si>
  <si>
    <t xml:space="preserve">Bonobos - Shopify</t>
  </si>
  <si>
    <t xml:space="preserve">bonobos.com</t>
  </si>
  <si>
    <t xml:space="preserve">FAST tester (confirmed). Use this project; the older BC project stopped receiving orders mid-window.</t>
  </si>
  <si>
    <t xml:space="preserve">AG Jeans</t>
  </si>
  <si>
    <t xml:space="preserve">www.agjeans.com</t>
  </si>
  <si>
    <t xml:space="preserve">Shopify webhook</t>
  </si>
  <si>
    <t xml:space="preserve">Shopify webhook purchases — attribution to a variant needs the cart-token bridge (see Feasibility by Client data-quality log).</t>
  </si>
  <si>
    <t xml:space="preserve">JR Cigars</t>
  </si>
  <si>
    <t xml:space="preserve">www.jrcigars.com</t>
  </si>
  <si>
    <t xml:space="preserve">Orders exceed buyers (1.32 per buyer) — repeat buyers. Not previously reviewed: confirm attribution before pitching a programme.</t>
  </si>
  <si>
    <t xml:space="preserve">The Sak</t>
  </si>
  <si>
    <t xml:space="preserve">www.thesak.com</t>
  </si>
  <si>
    <t xml:space="preserve">Shopify webhook purchases — confirm variant attribution (cart-token bridge) before testing on purchase.</t>
  </si>
  <si>
    <t xml:space="preserve">Mackenzie Childs</t>
  </si>
  <si>
    <t xml:space="preserve">Home décor &amp; gifts</t>
  </si>
  <si>
    <t xml:space="preserve">www.mackenzie-childs.com</t>
  </si>
  <si>
    <t xml:space="preserve">Omnicheer</t>
  </si>
  <si>
    <t xml:space="preserve">Sporting &amp; activewear</t>
  </si>
  <si>
    <t xml:space="preserve">www.omnicheer.com</t>
  </si>
  <si>
    <t xml:space="preserve">RM Williams</t>
  </si>
  <si>
    <t xml:space="preserve">www.rmwilliams.com.au</t>
  </si>
  <si>
    <t xml:space="preserve">GK Elite Sportswear</t>
  </si>
  <si>
    <t xml:space="preserve">www.gkelite.com</t>
  </si>
  <si>
    <t xml:space="preserve">Cigars.com</t>
  </si>
  <si>
    <t xml:space="preserve">www.cigars.com</t>
  </si>
  <si>
    <t xml:space="preserve">Nassau Candy</t>
  </si>
  <si>
    <t xml:space="preserve">B2B &amp; trade supply</t>
  </si>
  <si>
    <t xml:space="preserve">www.nassaucandy.com</t>
  </si>
  <si>
    <t xml:space="preserve">B2B — login-gated ordering; split by logged-in status before testing (Money Map notes).</t>
  </si>
  <si>
    <t xml:space="preserve">Ethan Allen Interiors Inc.</t>
  </si>
  <si>
    <t xml:space="preserve">www.ethanallen.com</t>
  </si>
  <si>
    <t xml:space="preserve">GOOD account via micro-conversions: tests are scored on design-center CTAs, not purchases.</t>
  </si>
  <si>
    <t xml:space="preserve">Citizen Watch</t>
  </si>
  <si>
    <t xml:space="preserve">Watches &amp; jewelry</t>
  </si>
  <si>
    <t xml:space="preserve">www.citizenwatch.com</t>
  </si>
  <si>
    <t xml:space="preserve">Very low conversion (0.3%) at $559 AOV.</t>
  </si>
  <si>
    <t xml:space="preserve">Isalbi Brands</t>
  </si>
  <si>
    <t xml:space="preserve">isalbi.com.au</t>
  </si>
  <si>
    <t xml:space="preserve">Webhook purchases with few tracked visitors — conversion rate likely overstated.</t>
  </si>
  <si>
    <t xml:space="preserve">Seattle Sutton</t>
  </si>
  <si>
    <t xml:space="preserve">Food &amp; meal delivery</t>
  </si>
  <si>
    <t xml:space="preserve">seattlesutton.com</t>
  </si>
  <si>
    <t xml:space="preserve">Bulova</t>
  </si>
  <si>
    <t xml:space="preserve">www.bulova.com</t>
  </si>
  <si>
    <t xml:space="preserve">Hardwood Lumber</t>
  </si>
  <si>
    <t xml:space="preserve">hardwood-lumber.com</t>
  </si>
  <si>
    <t xml:space="preserve">Anne Klein</t>
  </si>
  <si>
    <t xml:space="preserve">anneklein.com</t>
  </si>
  <si>
    <t xml:space="preserve">Santa Clara</t>
  </si>
  <si>
    <t xml:space="preserve">www.santaclaracigars.com</t>
  </si>
  <si>
    <t xml:space="preserve">Small traffic; orders ≫ buyers (B2B-style reorders).</t>
  </si>
  <si>
    <t xml:space="preserve">Lanctot Sports - Leatt</t>
  </si>
  <si>
    <t xml:space="preserve">mtb.leattcanada.ca</t>
  </si>
  <si>
    <t xml:space="preserve">HiHolden</t>
  </si>
  <si>
    <t xml:space="preserve">hiholden.com</t>
  </si>
  <si>
    <t xml:space="preserve">Dolfin Swimwear</t>
  </si>
  <si>
    <t xml:space="preserve">www.dolfinswimwear.com</t>
  </si>
  <si>
    <t xml:space="preserve">Casa de Montecristo</t>
  </si>
  <si>
    <t xml:space="preserve">www.casademontecristo.com</t>
  </si>
  <si>
    <t xml:space="preserve">Lanctot Sports - Julbo</t>
  </si>
  <si>
    <t xml:space="preserve">julbo-canada.ca</t>
  </si>
  <si>
    <t xml:space="preserve">Frederique Constant</t>
  </si>
  <si>
    <t xml:space="preserve">us.frederiqueconstant.com</t>
  </si>
  <si>
    <t xml:space="preserve">The 1916 Company</t>
  </si>
  <si>
    <t xml:space="preserve">www.the1916company.com</t>
  </si>
  <si>
    <t xml:space="preserve">Purchase signal too rare (0.02%). Lead/contact goals only.</t>
  </si>
  <si>
    <t xml:space="preserve">Star Furniture</t>
  </si>
  <si>
    <t xml:space="preserve">starfurniture.com</t>
  </si>
  <si>
    <t xml:space="preserve">Purchase tracking likely incomplete (16 buyers on 129k visitors).</t>
  </si>
  <si>
    <t xml:space="preserve">Alpina Watches</t>
  </si>
  <si>
    <t xml:space="preserve">us.alpinawatches.com</t>
  </si>
  <si>
    <t xml:space="preserve">Summary</t>
  </si>
  <si>
    <t xml:space="preserve">customers</t>
  </si>
  <si>
    <t xml:space="preserve">Excluded from tiering (data not usable)</t>
  </si>
  <si>
    <t xml:space="preserve">Bonobos (BC project 240668)</t>
  </si>
  <si>
    <t xml:space="preserve">Orders moved to the Bonobos – Shopify project mid-window (0 buyers in last 14 days). Counted once, above.</t>
  </si>
  <si>
    <t xml:space="preserve">Toys R Us</t>
  </si>
  <si>
    <t xml:space="preserve">Traffic stopped mid-window (136k visitors in 30 days, 26 in the last 14).</t>
  </si>
  <si>
    <t xml:space="preserve">Thirty Three Threads — Tavi Active, Toesox, Vooray; Kane's Furniture</t>
  </si>
  <si>
    <t xml:space="preserve">Purchases recorded but visitor tracking not firing (≤ 135 visitors). Fix tagging, then rescore.</t>
  </si>
  <si>
    <t xml:space="preserve">Static/QA hosts: Mio, Natchez, National Safety Council, John Deere (QA)</t>
  </si>
  <si>
    <t xml:space="preserve">Traffic is on static.getfastr.com or a QA host — not customer storefront traffic.</t>
  </si>
  <si>
    <t xml:space="preserve">Sites with traffic but no purchase tracking (e.g., University of Tampa, Foreword, Swixsport, Nvosport)</t>
  </si>
  <si>
    <t xml:space="preserve">No purchase signal — cannot be tiered on purchase. Lead/content sites.</t>
  </si>
  <si>
    <t xml:space="preserve">180 other projects</t>
  </si>
  <si>
    <t xml:space="preserve">No Workspace data in the last 30 days (not on Fastr Workspace v2, or inactive).</t>
  </si>
  <si>
    <t xml:space="preserve">Minimum Volume to Bring a Customer On</t>
  </si>
  <si>
    <t xml:space="preserve">What a site needs per month and per week for a purchase test to read at 95% confidence / 80% power inside the speed bar. Driven by the Assumptions tab.</t>
  </si>
  <si>
    <t xml:space="preserve">A. Monthly unique visitors needed</t>
  </si>
  <si>
    <t xml:space="preserve">Conversion rate ↓ / Tier →</t>
  </si>
  <si>
    <t xml:space="preserve">Tier 1 — 5% lift in ≤ 2 wks</t>
  </si>
  <si>
    <t xml:space="preserve">Tier 1 (3-wk) — 5% in ≤ 3 wks</t>
  </si>
  <si>
    <t xml:space="preserve">Tier 2 — 10% lift in ≤ 3 wks</t>
  </si>
  <si>
    <t xml:space="preserve">Tier 3 — 20% lift in ≤ 3 wks</t>
  </si>
  <si>
    <t xml:space="preserve">B. Monthly online orders needed</t>
  </si>
  <si>
    <t xml:space="preserve">C. Weekly online orders needed</t>
  </si>
  <si>
    <t xml:space="preserve">D. Annual online revenue that volume implies ($M) — at the conversion rate in this cell →</t>
  </si>
  <si>
    <t xml:space="preserve">AOV ↓ / Tier →</t>
  </si>
  <si>
    <t xml:space="preserve">Express ($128)</t>
  </si>
  <si>
    <t xml:space="preserve">Apparel median ($227)</t>
  </si>
  <si>
    <t xml:space="preserve">Bonobos / AG Jeans / RM Williams ($293–$340)</t>
  </si>
  <si>
    <t xml:space="preserve">Watches &amp; jewelry median ($1,445)</t>
  </si>
  <si>
    <t xml:space="preserve">Furniture median ($1,855)</t>
  </si>
  <si>
    <t xml:space="preserve">• How to read it: at a 3.5% conversion rate, Tier 1 needs roughly the monthly visitors in table A and the weekly orders in table C. A site below the Tier 3 column cannot read a purchase test in 3 weeks.</t>
  </si>
  <si>
    <t xml:space="preserve">• Conversion rate matters as much as volume: the same order count reads faster on a low-traffic, high-conversion site than on a high-traffic, low-conversion one.</t>
  </si>
  <si>
    <t xml:space="preserve">• AOV does not change the statistics — it changes the revenue a site needs to generate the order count. $2,000-AOV furniture needs ~14× the revenue of a $130 apparel site for the same test speed.</t>
  </si>
  <si>
    <t xml:space="preserve">• Assumes a test reaching 100% of visitors. A template-only test (e.g., PDP at 50% reach) needs about twice the volume.</t>
  </si>
  <si>
    <t xml:space="preserve">Single Prospect Calculator</t>
  </si>
  <si>
    <t xml:space="preserve">For discovery calls. Same logic as one Prospect Scorer row (it reuses the Scorer formulas on a hidden helper row).</t>
  </si>
  <si>
    <t xml:space="preserve">INPUTS</t>
  </si>
  <si>
    <t xml:space="preserve">Example — Express (PostHog, 30d)</t>
  </si>
  <si>
    <t xml:space="preserve">Monthly online orders</t>
  </si>
  <si>
    <t xml:space="preserve">Monthly unique visitors</t>
  </si>
  <si>
    <t xml:space="preserve">Annual US digital revenue ($M)</t>
  </si>
  <si>
    <t xml:space="preserve">Conversion rate (optional)</t>
  </si>
  <si>
    <t xml:space="preserve">Weekly micro-conversions (optional)</t>
  </si>
  <si>
    <t xml:space="preserve">RESULTS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</si>
  <si>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</si>
  <si>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</si>
  <si>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</si>
  <si>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</si>
  <si>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a 5% lift</t>
  </si>
  <si>
    <t xml:space="preserve">Weeks to read a 10% lift</t>
  </si>
  <si>
    <t xml:space="preserve">Weeks to read a 20% lift</t>
  </si>
  <si>
    <t xml:space="preserve">Recommended action</t>
  </si>
  <si>
    <t xml:space="preserve">Annual online revenue ($M, est.)</t>
  </si>
  <si>
    <t xml:space="preserve">helper row — do not edit</t>
  </si>
  <si>
    <t xml:space="preserve">Assumptions</t>
  </si>
  <si>
    <t xml:space="preserve">Global settings used by every tab. Blue cells are editable. Measured values come from the PostHog scan of all Workspace customers (30 days to 4 Oct 2026).</t>
  </si>
  <si>
    <t xml:space="preserve">Setting</t>
  </si>
  <si>
    <t xml:space="preserve">Value</t>
  </si>
  <si>
    <t xml:space="preserve">Why / source</t>
  </si>
  <si>
    <t xml:space="preserve">THE SPEED &amp; PRECISION BAR</t>
  </si>
  <si>
    <t xml:space="preserve">Confidence level (two-sided)</t>
  </si>
  <si>
    <t xml:space="preserve">Fastr default. Same as the Feasibility by Client and Sample-Size Calculator workbooks.</t>
  </si>
  <si>
    <t xml:space="preserve">Statistical power</t>
  </si>
  <si>
    <t xml:space="preserve">Industry standard: 80% chance of detecting a real effect of the target size.</t>
  </si>
  <si>
    <t xml:space="preserve">Fast bar — weeks to read a 5% lift (Tier 1)</t>
  </si>
  <si>
    <t xml:space="preserve">The brief: a conversion test that reads in two weeks.</t>
  </si>
  <si>
    <t xml:space="preserve">Maximum acceptable test length (weeks)</t>
  </si>
  <si>
    <t xml:space="preserve">The brief: 2–3 weeks max. Anything longer is not a fast programme.</t>
  </si>
  <si>
    <t xml:space="preserve">Lift — typical win (Tier 1 bar)</t>
  </si>
  <si>
    <t xml:space="preserve">A 5% relative lift. Realistic for a good test on a mature site.</t>
  </si>
  <si>
    <t xml:space="preserve">Lift — bold test (Tier 2 bar)</t>
  </si>
  <si>
    <t xml:space="preserve">A 10% relative lift. Optimistic; needs a large change.</t>
  </si>
  <si>
    <t xml:space="preserve">Lift — exceptional (Tier 3 bar)</t>
  </si>
  <si>
    <t xml:space="preserve">A 20% relative lift. Best case; rarely achieved.</t>
  </si>
  <si>
    <t xml:space="preserve">Share of site visitors who enter the test</t>
  </si>
  <si>
    <t xml:space="preserve">100% = a site-wide or funnel-wide test (the best case). A single template reaches less: enter 0.5 to model a PDP- or PLP-only test.</t>
  </si>
  <si>
    <t xml:space="preserve">MEASURED IN POSTHOG</t>
  </si>
  <si>
    <t xml:space="preserve">Reach exponent b (unique visitors grow as days^b)</t>
  </si>
  <si>
    <t xml:space="preserve">Median across 20 customers with &gt;20k visitors: V(14) vs V(7). Same reach-curve idea as the Feasibility by Client workbook.</t>
  </si>
  <si>
    <t xml:space="preserve">Orders per buyer (30 days)</t>
  </si>
  <si>
    <t xml:space="preserve">Median of de-duplicated orders ÷ converting visitors (Express 1.14, Mackenzie Childs 1.18, RM Williams 1.03).</t>
  </si>
  <si>
    <t xml:space="preserve">Default conversion rate (converting visitors ÷ visitors)</t>
  </si>
  <si>
    <t xml:space="preserve">Used only when no visitor count and no vertical rate is available. Apparel median in PostHog is 3.6%.</t>
  </si>
  <si>
    <t xml:space="preserve">Default AOV ($)</t>
  </si>
  <si>
    <t xml:space="preserve">Used only when no AOV and no vertical value is available. Retail/apparel medians in PostHog are $227–$310.</t>
  </si>
  <si>
    <t xml:space="preserve">DERIVED (do not edit)</t>
  </si>
  <si>
    <t xml:space="preserve">z (alpha/2)</t>
  </si>
  <si>
    <t xml:space="preserve">1.960 at 95%.</t>
  </si>
  <si>
    <t xml:space="preserve">z (beta)</t>
  </si>
  <si>
    <t xml:space="preserve">0.842 at 80%.</t>
  </si>
  <si>
    <t xml:space="preserve">(z alpha/2 + z beta)²</t>
  </si>
  <si>
    <t xml:space="preserve">7.85 at defaults.</t>
  </si>
  <si>
    <t xml:space="preserve">14-day share of 30-day unique visitors</t>
  </si>
  <si>
    <t xml:space="preserve">V(14) = V(30) × (14/30)^b.</t>
  </si>
  <si>
    <t xml:space="preserve">VERTICAL DEFAULTS — measured in PostHog where Fastr has customers</t>
  </si>
  <si>
    <t xml:space="preserve">Conv. rate</t>
  </si>
  <si>
    <t xml:space="preserve">Source</t>
  </si>
  <si>
    <t xml:space="preserve">PostHog median of 6: Express, Bonobos, AG Jeans, The Sak, RM Williams, Anne Klein</t>
  </si>
  <si>
    <t xml:space="preserve">PostHog median of 5: Omnicheer, GK Elite, Leatt, Julbo, Dolfin</t>
  </si>
  <si>
    <t xml:space="preserve">PostHog median of 4: JR Cigars, Cigars.com, Casa de Montecristo, Santa Clara</t>
  </si>
  <si>
    <t xml:space="preserve">PostHog: Mackenzie Childs</t>
  </si>
  <si>
    <t xml:space="preserve">PostHog median of 4: Ethan Allen, Isalbi, HiHolden, Star Furniture</t>
  </si>
  <si>
    <t xml:space="preserve">PostHog median of 5: Citizen, Bulova, Frederique Constant, The 1916 Company, Alpina</t>
  </si>
  <si>
    <t xml:space="preserve">PostHog: Nassau Candy, Hardwood Lumber</t>
  </si>
  <si>
    <t xml:space="preserve">PostHog: Seattle Sutton</t>
  </si>
  <si>
    <t xml:space="preserve">Beauty &amp; personal care</t>
  </si>
  <si>
    <t xml:space="preserve">No Fastr customer — public benchmark (Dynamic Yield / Littledata)</t>
  </si>
  <si>
    <t xml:space="preserve">Consumer electronics</t>
  </si>
  <si>
    <t xml:space="preserve">No Fastr customer — public benchmark (Triple Whale)</t>
  </si>
  <si>
    <t xml:space="preserve">Pet</t>
  </si>
  <si>
    <t xml:space="preserve">No Fastr customer — public benchmark (Triple Whale / IRP)</t>
  </si>
  <si>
    <t xml:space="preserve">Other / unknown</t>
  </si>
  <si>
    <t xml:space="preserve">Uses the defaults above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</si>
</sst>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$#,##0"/>
    <numFmt numFmtId="167" formatCode="0.00%"/>
    <numFmt numFmtId="168" formatCode="0.0"/>
    <numFmt numFmtId="169" formatCode="0.00"/>
    <numFmt numFmtId="170" formatCode="\$#,##0.0"/>
    <numFmt numFmtId="171" formatCode="0.0%"/>
    <numFmt numFmtId="172" formatCode="0%"/>
    <numFmt numFmtId="173" formatCode="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12121"/>
      <name val="Montserrat"/>
      <family val="0"/>
      <charset val="1"/>
    </font>
    <font>
      <i val="true"/>
      <sz val="10"/>
      <color rgb="FF5A6472"/>
      <name val="Nunito"/>
      <family val="0"/>
      <charset val="1"/>
    </font>
    <font>
      <b val="true"/>
      <sz val="12"/>
      <color rgb="FF164195"/>
      <name val="Montserrat"/>
      <family val="0"/>
      <charset val="1"/>
    </font>
    <font>
      <b val="true"/>
      <sz val="10"/>
      <color rgb="FF212121"/>
      <name val="Nunito"/>
      <family val="0"/>
      <charset val="1"/>
    </font>
    <font>
      <sz val="10"/>
      <color rgb="FF212121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name val="Arial"/>
      <family val="2"/>
    </font>
    <font>
      <sz val="9"/>
      <color rgb="FF5A6472"/>
      <name val="Nunito"/>
      <family val="0"/>
      <charset val="1"/>
    </font>
    <font>
      <sz val="8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1F1F1"/>
        <bgColor rgb="FFE4E7EC"/>
      </patternFill>
    </fill>
    <fill>
      <patternFill patternType="solid">
        <fgColor rgb="FF08A67E"/>
        <bgColor rgb="FF008080"/>
      </patternFill>
    </fill>
    <fill>
      <patternFill patternType="solid">
        <fgColor rgb="FFF3B113"/>
        <bgColor rgb="FFFFCC00"/>
      </patternFill>
    </fill>
    <fill>
      <patternFill patternType="solid">
        <fgColor rgb="FFC3204C"/>
        <bgColor rgb="FF993366"/>
      </patternFill>
    </fill>
    <fill>
      <patternFill patternType="solid">
        <fgColor rgb="FF5A6472"/>
        <bgColor rgb="FF808080"/>
      </patternFill>
    </fill>
    <fill>
      <patternFill patternType="solid">
        <fgColor rgb="FF164195"/>
        <bgColor rgb="FF003366"/>
      </patternFill>
    </fill>
    <fill>
      <patternFill patternType="solid">
        <fgColor rgb="FF1C2A39"/>
        <bgColor rgb="FF21212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64195"/>
          <bgColor rgb="FF000000"/>
        </patternFill>
      </fill>
    </dxf>
    <dxf>
      <fill>
        <patternFill patternType="solid">
          <fgColor rgb="FFF1F1F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A3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12121"/>
          <bgColor rgb="FF000000"/>
        </patternFill>
      </fill>
    </dxf>
    <dxf>
      <fill>
        <patternFill patternType="solid">
          <fgColor rgb="FFC3204C"/>
          <bgColor rgb="FF000000"/>
        </patternFill>
      </fill>
    </dxf>
    <dxf>
      <fill>
        <patternFill patternType="solid">
          <fgColor rgb="FF08A67E"/>
          <bgColor rgb="FF000000"/>
        </patternFill>
      </fill>
    </dxf>
    <dxf>
      <fill>
        <patternFill patternType="solid">
          <fgColor rgb="FFF3B113"/>
          <bgColor rgb="FF000000"/>
        </patternFill>
      </fill>
    </dxf>
    <dxf>
      <font>
        <b val="1"/>
        <color rgb="FFFFFFFF"/>
      </font>
      <fill>
        <patternFill>
          <bgColor rgb="FF5A6472"/>
        </patternFill>
      </fill>
    </dxf>
    <dxf>
      <font>
        <b val="1"/>
        <color rgb="FFFFFFFF"/>
      </font>
      <fill>
        <patternFill>
          <bgColor rgb="FF08A67E"/>
        </patternFill>
      </fill>
    </dxf>
    <dxf>
      <font>
        <b val="1"/>
        <color rgb="FFFFFFFF"/>
      </font>
      <fill>
        <patternFill>
          <bgColor rgb="FFF3B113"/>
        </patternFill>
      </fill>
    </dxf>
    <dxf>
      <font>
        <b val="1"/>
        <color rgb="FFFFFFFF"/>
      </font>
      <fill>
        <patternFill>
          <bgColor rgb="FFC3204C"/>
        </patternFill>
      </fill>
    </dxf>
    <dxf>
      <font>
        <b val="1"/>
        <color rgb="FFC3204C"/>
      </font>
    </dxf>
    <dxf>
      <font>
        <b val="1"/>
        <color rgb="FF08A67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3204C"/>
      <rgbColor rgb="FFF1F1F1"/>
      <rgbColor rgb="FFE4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95FF4"/>
      <rgbColor rgb="FF33CCCC"/>
      <rgbColor rgb="FF99CC00"/>
      <rgbColor rgb="FFFFCC00"/>
      <rgbColor rgb="FFF3B113"/>
      <rgbColor rgb="FFFF6600"/>
      <rgbColor rgb="FF5A6472"/>
      <rgbColor rgb="FF969696"/>
      <rgbColor rgb="FF003366"/>
      <rgbColor rgb="FF08A67E"/>
      <rgbColor rgb="FF003300"/>
      <rgbColor rgb="FF212121"/>
      <rgbColor rgb="FF993300"/>
      <rgbColor rgb="FF993366"/>
      <rgbColor rgb="FF164195"/>
      <rgbColor rgb="FF1C2A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  <c r="C6" s="5" t="s">
        <v>4</v>
      </c>
    </row>
    <row r="7" customFormat="false" ht="30" hidden="false" customHeight="true" outlineLevel="0" collapsed="false">
      <c r="B7" s="4" t="s">
        <v>5</v>
      </c>
      <c r="C7" s="5" t="s">
        <v>6</v>
      </c>
    </row>
    <row r="8" customFormat="false" ht="30" hidden="false" customHeight="tru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3" t="s">
        <v>9</v>
      </c>
    </row>
    <row r="10" customFormat="false" ht="30" hidden="false" customHeight="true" outlineLevel="0" collapsed="false">
      <c r="B10" s="4" t="s">
        <v>10</v>
      </c>
      <c r="C10" s="5" t="s">
        <v>11</v>
      </c>
    </row>
    <row r="11" customFormat="false" ht="30" hidden="false" customHeight="true" outlineLevel="0" collapsed="false">
      <c r="B11" s="4" t="s">
        <v>12</v>
      </c>
      <c r="C11" s="5" t="s">
        <v>13</v>
      </c>
    </row>
    <row r="12" customFormat="false" ht="15" hidden="false" customHeight="tru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3" t="s">
        <v>16</v>
      </c>
    </row>
    <row r="14" customFormat="false" ht="15" hidden="false" customHeight="true" outlineLevel="0" collapsed="false">
      <c r="B14" s="6" t="s">
        <v>17</v>
      </c>
      <c r="C14" s="5" t="s">
        <v>18</v>
      </c>
    </row>
    <row r="15" customFormat="false" ht="15" hidden="false" customHeight="tru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3" t="s">
        <v>21</v>
      </c>
    </row>
    <row r="17" customFormat="false" ht="30" hidden="false" customHeight="true" outlineLevel="0" collapsed="false">
      <c r="B17" s="7" t="s">
        <v>22</v>
      </c>
      <c r="C17" s="5" t="s">
        <v>23</v>
      </c>
    </row>
    <row r="18" customFormat="false" ht="15" hidden="false" customHeight="true" outlineLevel="0" collapsed="false">
      <c r="B18" s="8" t="s">
        <v>24</v>
      </c>
      <c r="C18" s="5" t="s">
        <v>25</v>
      </c>
    </row>
    <row r="19" customFormat="false" ht="15" hidden="false" customHeight="true" outlineLevel="0" collapsed="false">
      <c r="B19" s="9" t="s">
        <v>26</v>
      </c>
      <c r="C19" s="5" t="s">
        <v>27</v>
      </c>
    </row>
    <row r="20" customFormat="false" ht="30" hidden="false" customHeight="true" outlineLevel="0" collapsed="false">
      <c r="B20" s="10" t="s">
        <v>28</v>
      </c>
      <c r="C20" s="5" t="s">
        <v>29</v>
      </c>
    </row>
    <row r="21" customFormat="false" ht="15" hidden="false" customHeight="false" outlineLevel="0" collapsed="false">
      <c r="B21" s="3" t="s">
        <v>30</v>
      </c>
    </row>
    <row r="22" customFormat="false" ht="15" hidden="false" customHeight="true" outlineLevel="0" collapsed="false">
      <c r="B22" s="4" t="s">
        <v>31</v>
      </c>
      <c r="C22" s="5" t="s">
        <v>32</v>
      </c>
    </row>
    <row r="23" customFormat="false" ht="30" hidden="false" customHeight="true" outlineLevel="0" collapsed="false">
      <c r="B23" s="4" t="s">
        <v>33</v>
      </c>
      <c r="C23" s="5" t="s">
        <v>34</v>
      </c>
    </row>
    <row r="24" customFormat="false" ht="15" hidden="false" customHeight="false" outlineLevel="0" collapsed="false">
      <c r="B24" s="3" t="s">
        <v>35</v>
      </c>
    </row>
    <row r="25" customFormat="false" ht="30" hidden="false" customHeight="true" outlineLevel="0" collapsed="false">
      <c r="B25" s="4" t="s">
        <v>36</v>
      </c>
      <c r="C25" s="5" t="s">
        <v>37</v>
      </c>
    </row>
    <row r="26" customFormat="false" ht="30" hidden="false" customHeight="true" outlineLevel="0" collapsed="false">
      <c r="B26" s="4" t="s">
        <v>38</v>
      </c>
      <c r="C26" s="5" t="s">
        <v>39</v>
      </c>
    </row>
    <row r="27" customFormat="false" ht="45" hidden="false" customHeight="true" outlineLevel="0" collapsed="false">
      <c r="B27" s="4" t="s">
        <v>40</v>
      </c>
      <c r="C27" s="5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X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8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0"/>
    <col collapsed="false" customWidth="true" hidden="false" outlineLevel="0" max="18" min="16" style="0" width="9"/>
    <col collapsed="false" customWidth="true" hidden="false" outlineLevel="0" max="19" min="19" style="0" width="18"/>
    <col collapsed="false" customWidth="true" hidden="false" outlineLevel="0" max="20" min="20" style="0" width="50"/>
    <col collapsed="false" customWidth="true" hidden="false" outlineLevel="0" max="21" min="21" style="0" width="12"/>
    <col collapsed="false" customWidth="true" hidden="false" outlineLevel="0" max="22" min="22" style="0" width="3"/>
    <col collapsed="false" customWidth="true" hidden="false" outlineLevel="0" max="23" min="23" style="0" width="12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51.75" hidden="false" customHeight="true" outlineLevel="0" collapsed="false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W4" s="13" t="s">
        <v>65</v>
      </c>
      <c r="X4" s="13" t="s">
        <v>66</v>
      </c>
    </row>
    <row r="5" customFormat="false" ht="15" hidden="false" customHeight="false" outlineLevel="0" collapsed="false">
      <c r="A5" s="14" t="s">
        <v>67</v>
      </c>
      <c r="B5" s="14" t="s">
        <v>68</v>
      </c>
      <c r="C5" s="15" t="n">
        <v>24000</v>
      </c>
      <c r="D5" s="15" t="n">
        <v>700000</v>
      </c>
      <c r="E5" s="16"/>
      <c r="F5" s="16" t="n">
        <v>290</v>
      </c>
      <c r="G5" s="17"/>
      <c r="H5" s="15"/>
      <c r="I5" s="14" t="s">
        <v>69</v>
      </c>
      <c r="J5" s="18" t="str">
        <f aca="false">IF($C5&lt;&gt;"","Actual orders",IF($E5&lt;&gt;"","Est. from revenue",IF($D5&lt;&gt;"","Est. from traffic × CVR","")))</f>
        <v>Actual orders</v>
      </c>
      <c r="K5" s="19" t="n">
        <f aca="false">IF($F5&lt;&gt;"",$F5,IFERROR(INDEX(Assumptions!$D$28:$D$39,MATCH($B5,Assumptions!$B$28:$B$39,0)),Assumptions!$C$19))</f>
        <v>290</v>
      </c>
      <c r="L5" s="20" t="n">
        <f aca="false">IF($C5&lt;&gt;"",$C5/Assumptions!$C$17,IF($E5&lt;&gt;"",$E5*1000000/12/$K5/Assumptions!$C$17,IF($D5&lt;&gt;"",$D5*IF($G5&lt;&gt;"",$G5,IFERROR(INDEX(Assumptions!$C$28:$C$39,MATCH($B5,Assumptions!$B$28:$B$39,0)),Assumptions!$C$18)),"")))</f>
        <v>21818.1818181818</v>
      </c>
      <c r="M5" s="20" t="n">
        <f aca="false">IF($L5="","",IF($D5&lt;&gt;"",$D5,$L5/IF($G5&lt;&gt;"",$G5,IFERROR(INDEX(Assumptions!$C$28:$C$39,MATCH($B5,Assumptions!$B$28:$B$39,0)),Assumptions!$C$18))))</f>
        <v>700000</v>
      </c>
      <c r="N5" s="21" t="n">
        <f aca="false">IF($L5="","",MIN($L5/$M5,0.95))</f>
        <v>0.0311688311688312</v>
      </c>
      <c r="O5" s="20" t="n">
        <f aca="false">IF($L5="","",$L5*Assumptions!$C$17*12/52)</f>
        <v>5538.46153846154</v>
      </c>
      <c r="P5" s="22" t="n">
        <f aca="false">IF($L5="","",14*((2*Assumptions!$C$23*($N5*(1-$N5)+$N5*(1+Assumptions!$C$11)*(1-$N5*(1+Assumptions!$C$11)))/($N5*Assumptions!$C$11)^2/Assumptions!$C$14)/($M5*Assumptions!$C$24))^(1/Assumptions!$C$16)/7)</f>
        <v>2.33126586583235</v>
      </c>
      <c r="Q5" s="22" t="n">
        <f aca="false">IF($L5="","",14*((2*Assumptions!$C$23*($N5*(1-$N5)+$N5*(1+Assumptions!$C$12)*(1-$N5*(1+Assumptions!$C$12)))/($N5*Assumptions!$C$12)^2/Assumptions!$C$14)/($M5*Assumptions!$C$24))^(1/Assumptions!$C$16)/7)</f>
        <v>0.529842950142794</v>
      </c>
      <c r="R5" s="22" t="n">
        <f aca="false">IF($L5="","",14*((2*Assumptions!$C$23*($N5*(1-$N5)+$N5*(1+Assumptions!$C$13)*(1-$N5*(1+Assumptions!$C$13)))/($N5*Assumptions!$C$13)^2/Assumptions!$C$14)/($M5*Assumptions!$C$24))^(1/Assumptions!$C$16)/7)</f>
        <v>0.12326246183657</v>
      </c>
      <c r="S5" s="23" t="str">
        <f aca="false">IF($L5="","",IF($P5&lt;=Assumptions!$C$9,"Tier 1",IF($P5&lt;=Assumptions!$C$10,"Tier 1 (3-wk)",IF($Q5&lt;=Assumptions!$C$10,"Tier 2",IF($R5&lt;=Assumptions!$C$10,"Tier 3",IF(AND($H5&lt;&gt;"",14*((2*Assumptions!$C$23*(MIN($H5*52/12/$M5,0.95)*(1-MIN($H5*52/12/$M5,0.95))+MIN($H5*52/12/$M5,0.95)*(1+Assumptions!$C$12)*(1-MIN($H5*52/12/$M5,0.95)*(1+Assumptions!$C$12)))/(MIN($H5*52/12/$M5,0.95)*Assumptions!$C$12)^2/Assumptions!$C$14)/($M5*Assumptions!$C$24))^(1/Assumptions!$C$16)/7&lt;=Assumptions!$C$10),"Not a fit — micro-conversion tests only","Not a fit"))))))</f>
        <v>Tier 1 (3-wk)</v>
      </c>
      <c r="T5" s="18" t="str">
        <f aca="false">IF($S5="","",IF(LEFT($S5,6)="Tier 1","Pursue — trial + fast programme: 5% lifts read in 2–3 weeks",IF($S5="Tier 2","Qualify — bold tests only (10%+ lifts); funnel-wide, 3-week reads",IF($S5="Tier 3","Deprioritise — only exceptional (20%) changes read in 3 weeks",IF($S5="Not a fit","Do not trial A/B — purchase tests cannot read in 3 weeks","Trial only if tests are scored on CTA clicks / leads, not purchases")))))</f>
        <v>Pursue — trial + fast programme: 5% lifts read in 2–3 weeks</v>
      </c>
      <c r="U5" s="19" t="n">
        <f aca="false">IF($L5="","",$L5*Assumptions!$C$17*$K5*12/1000000)</f>
        <v>83.52</v>
      </c>
      <c r="W5" s="24" t="s">
        <v>70</v>
      </c>
      <c r="X5" s="18" t="n">
        <f aca="false">COUNTIF($S$5:$S$154,W5&amp;"*")</f>
        <v>2</v>
      </c>
    </row>
    <row r="6" customFormat="false" ht="15" hidden="false" customHeight="false" outlineLevel="0" collapsed="false">
      <c r="A6" s="14" t="s">
        <v>71</v>
      </c>
      <c r="B6" s="14" t="s">
        <v>72</v>
      </c>
      <c r="C6" s="15"/>
      <c r="D6" s="15"/>
      <c r="E6" s="16" t="n">
        <v>300</v>
      </c>
      <c r="F6" s="16"/>
      <c r="G6" s="17"/>
      <c r="H6" s="15" t="n">
        <v>2500</v>
      </c>
      <c r="I6" s="14" t="s">
        <v>73</v>
      </c>
      <c r="J6" s="18" t="str">
        <f aca="false">IF($C6&lt;&gt;"","Actual orders",IF($E6&lt;&gt;"","Est. from revenue",IF($D6&lt;&gt;"","Est. from traffic × CVR","")))</f>
        <v>Est. from revenue</v>
      </c>
      <c r="K6" s="19" t="n">
        <f aca="false">IF($F6&lt;&gt;"",$F6,IFERROR(INDEX(Assumptions!$D$28:$D$39,MATCH($B6,Assumptions!$B$28:$B$39,0)),Assumptions!$C$19))</f>
        <v>1855</v>
      </c>
      <c r="L6" s="20" t="n">
        <f aca="false">IF($C6&lt;&gt;"",$C6/Assumptions!$C$17,IF($E6&lt;&gt;"",$E6*1000000/12/$K6/Assumptions!$C$17,IF($D6&lt;&gt;"",$D6*IF($G6&lt;&gt;"",$G6,IFERROR(INDEX(Assumptions!$C$28:$C$39,MATCH($B6,Assumptions!$B$28:$B$39,0)),Assumptions!$C$18)),"")))</f>
        <v>12251.8990443519</v>
      </c>
      <c r="M6" s="20" t="n">
        <f aca="false">IF($L6="","",IF($D6&lt;&gt;"",$D6,$L6/IF($G6&lt;&gt;"",$G6,IFERROR(INDEX(Assumptions!$C$28:$C$39,MATCH($B6,Assumptions!$B$28:$B$39,0)),Assumptions!$C$18))))</f>
        <v>5326912.62797908</v>
      </c>
      <c r="N6" s="21" t="n">
        <f aca="false">IF($L6="","",MIN($L6/$M6,0.95))</f>
        <v>0.0023</v>
      </c>
      <c r="O6" s="20" t="n">
        <f aca="false">IF($L6="","",$L6*Assumptions!$C$17*12/52)</f>
        <v>3110.09744972009</v>
      </c>
      <c r="P6" s="22" t="n">
        <f aca="false">IF($L6="","",14*((2*Assumptions!$C$23*($N6*(1-$N6)+$N6*(1+Assumptions!$C$11)*(1-$N6*(1+Assumptions!$C$11)))/($N6*Assumptions!$C$11)^2/Assumptions!$C$14)/($M6*Assumptions!$C$24))^(1/Assumptions!$C$16)/7)</f>
        <v>4.51046714829681</v>
      </c>
      <c r="Q6" s="22" t="n">
        <f aca="false">IF($L6="","",14*((2*Assumptions!$C$23*($N6*(1-$N6)+$N6*(1+Assumptions!$C$12)*(1-$N6*(1+Assumptions!$C$12)))/($N6*Assumptions!$C$12)^2/Assumptions!$C$14)/($M6*Assumptions!$C$24))^(1/Assumptions!$C$16)/7)</f>
        <v>1.02601763465166</v>
      </c>
      <c r="R6" s="22" t="n">
        <f aca="false">IF($L6="","",14*((2*Assumptions!$C$23*($N6*(1-$N6)+$N6*(1+Assumptions!$C$13)*(1-$N6*(1+Assumptions!$C$13)))/($N6*Assumptions!$C$13)^2/Assumptions!$C$14)/($M6*Assumptions!$C$24))^(1/Assumptions!$C$16)/7)</f>
        <v>0.239133416135642</v>
      </c>
      <c r="S6" s="23" t="str">
        <f aca="false">IF($L6="","",IF($P6&lt;=Assumptions!$C$9,"Tier 1",IF($P6&lt;=Assumptions!$C$10,"Tier 1 (3-wk)",IF($Q6&lt;=Assumptions!$C$10,"Tier 2",IF($R6&lt;=Assumptions!$C$10,"Tier 3",IF(AND($H6&lt;&gt;"",14*((2*Assumptions!$C$23*(MIN($H6*52/12/$M6,0.95)*(1-MIN($H6*52/12/$M6,0.95))+MIN($H6*52/12/$M6,0.95)*(1+Assumptions!$C$12)*(1-MIN($H6*52/12/$M6,0.95)*(1+Assumptions!$C$12)))/(MIN($H6*52/12/$M6,0.95)*Assumptions!$C$12)^2/Assumptions!$C$14)/($M6*Assumptions!$C$24))^(1/Assumptions!$C$16)/7&lt;=Assumptions!$C$10),"Not a fit — micro-conversion tests only","Not a fit"))))))</f>
        <v>Tier 2</v>
      </c>
      <c r="T6" s="18" t="str">
        <f aca="false">IF($S6="","",IF(LEFT($S6,6)="Tier 1","Pursue — trial + fast programme: 5% lifts read in 2–3 weeks",IF($S6="Tier 2","Qualify — bold tests only (10%+ lifts); funnel-wide, 3-week reads",IF($S6="Tier 3","Deprioritise — only exceptional (20%) changes read in 3 weeks",IF($S6="Not a fit","Do not trial A/B — purchase tests cannot read in 3 weeks","Trial only if tests are scored on CTA clicks / leads, not purchases")))))</f>
        <v>Qualify — bold tests only (10%+ lifts); funnel-wide, 3-week reads</v>
      </c>
      <c r="U6" s="19" t="n">
        <f aca="false">IF($L6="","",$L6*Assumptions!$C$17*$K6*12/1000000)</f>
        <v>300</v>
      </c>
      <c r="W6" s="25" t="s">
        <v>74</v>
      </c>
      <c r="X6" s="18" t="n">
        <f aca="false">COUNTIF($S$5:$S$154,W6&amp;"*")</f>
        <v>1</v>
      </c>
    </row>
    <row r="7" customFormat="false" ht="15" hidden="false" customHeight="false" outlineLevel="0" collapsed="false">
      <c r="A7" s="14" t="s">
        <v>75</v>
      </c>
      <c r="B7" s="14" t="s">
        <v>76</v>
      </c>
      <c r="C7" s="15"/>
      <c r="D7" s="15" t="n">
        <v>250000</v>
      </c>
      <c r="E7" s="16"/>
      <c r="F7" s="16"/>
      <c r="G7" s="17"/>
      <c r="H7" s="15"/>
      <c r="I7" s="14" t="s">
        <v>77</v>
      </c>
      <c r="J7" s="18" t="str">
        <f aca="false">IF($C7&lt;&gt;"","Actual orders",IF($E7&lt;&gt;"","Est. from revenue",IF($D7&lt;&gt;"","Est. from traffic × CVR","")))</f>
        <v>Est. from traffic × CVR</v>
      </c>
      <c r="K7" s="19" t="n">
        <f aca="false">IF($F7&lt;&gt;"",$F7,IFERROR(INDEX(Assumptions!$D$28:$D$39,MATCH($B7,Assumptions!$B$28:$B$39,0)),Assumptions!$C$19))</f>
        <v>310</v>
      </c>
      <c r="L7" s="20" t="n">
        <f aca="false">IF($C7&lt;&gt;"",$C7/Assumptions!$C$17,IF($E7&lt;&gt;"",$E7*1000000/12/$K7/Assumptions!$C$17,IF($D7&lt;&gt;"",$D7*IF($G7&lt;&gt;"",$G7,IFERROR(INDEX(Assumptions!$C$28:$C$39,MATCH($B7,Assumptions!$B$28:$B$39,0)),Assumptions!$C$18)),"")))</f>
        <v>19875</v>
      </c>
      <c r="M7" s="20" t="n">
        <f aca="false">IF($L7="","",IF($D7&lt;&gt;"",$D7,$L7/IF($G7&lt;&gt;"",$G7,IFERROR(INDEX(Assumptions!$C$28:$C$39,MATCH($B7,Assumptions!$B$28:$B$39,0)),Assumptions!$C$18))))</f>
        <v>250000</v>
      </c>
      <c r="N7" s="21" t="n">
        <f aca="false">IF($L7="","",MIN($L7/$M7,0.95))</f>
        <v>0.0795</v>
      </c>
      <c r="O7" s="20" t="n">
        <f aca="false">IF($L7="","",$L7*Assumptions!$C$17*12/52)</f>
        <v>5045.19230769231</v>
      </c>
      <c r="P7" s="22" t="n">
        <f aca="false">IF($L7="","",14*((2*Assumptions!$C$23*($N7*(1-$N7)+$N7*(1+Assumptions!$C$11)*(1-$N7*(1+Assumptions!$C$11)))/($N7*Assumptions!$C$11)^2/Assumptions!$C$14)/($M7*Assumptions!$C$24))^(1/Assumptions!$C$16)/7)</f>
        <v>2.4367609535595</v>
      </c>
      <c r="Q7" s="22" t="n">
        <f aca="false">IF($L7="","",14*((2*Assumptions!$C$23*($N7*(1-$N7)+$N7*(1+Assumptions!$C$12)*(1-$N7*(1+Assumptions!$C$12)))/($N7*Assumptions!$C$12)^2/Assumptions!$C$14)/($M7*Assumptions!$C$24))^(1/Assumptions!$C$16)/7)</f>
        <v>0.552942811027459</v>
      </c>
      <c r="R7" s="22" t="n">
        <f aca="false">IF($L7="","",14*((2*Assumptions!$C$23*($N7*(1-$N7)+$N7*(1+Assumptions!$C$13)*(1-$N7*(1+Assumptions!$C$13)))/($N7*Assumptions!$C$13)^2/Assumptions!$C$14)/($M7*Assumptions!$C$24))^(1/Assumptions!$C$16)/7)</f>
        <v>0.128203264658735</v>
      </c>
      <c r="S7" s="23" t="str">
        <f aca="false">IF($L7="","",IF($P7&lt;=Assumptions!$C$9,"Tier 1",IF($P7&lt;=Assumptions!$C$10,"Tier 1 (3-wk)",IF($Q7&lt;=Assumptions!$C$10,"Tier 2",IF($R7&lt;=Assumptions!$C$10,"Tier 3",IF(AND($H7&lt;&gt;"",14*((2*Assumptions!$C$23*(MIN($H7*52/12/$M7,0.95)*(1-MIN($H7*52/12/$M7,0.95))+MIN($H7*52/12/$M7,0.95)*(1+Assumptions!$C$12)*(1-MIN($H7*52/12/$M7,0.95)*(1+Assumptions!$C$12)))/(MIN($H7*52/12/$M7,0.95)*Assumptions!$C$12)^2/Assumptions!$C$14)/($M7*Assumptions!$C$24))^(1/Assumptions!$C$16)/7&lt;=Assumptions!$C$10),"Not a fit — micro-conversion tests only","Not a fit"))))))</f>
        <v>Tier 1 (3-wk)</v>
      </c>
      <c r="T7" s="18" t="str">
        <f aca="false">IF($S7="","",IF(LEFT($S7,6)="Tier 1","Pursue — trial + fast programme: 5% lifts read in 2–3 weeks",IF($S7="Tier 2","Qualify — bold tests only (10%+ lifts); funnel-wide, 3-week reads",IF($S7="Tier 3","Deprioritise — only exceptional (20%) changes read in 3 weeks",IF($S7="Not a fit","Do not trial A/B — purchase tests cannot read in 3 weeks","Trial only if tests are scored on CTA clicks / leads, not purchases")))))</f>
        <v>Pursue — trial + fast programme: 5% lifts read in 2–3 weeks</v>
      </c>
      <c r="U7" s="19" t="n">
        <f aca="false">IF($L7="","",$L7*Assumptions!$C$17*$K7*12/1000000)</f>
        <v>81.3285</v>
      </c>
      <c r="W7" s="26" t="s">
        <v>78</v>
      </c>
      <c r="X7" s="18" t="n">
        <f aca="false">COUNTIF($S$5:$S$154,W7&amp;"*")</f>
        <v>0</v>
      </c>
    </row>
    <row r="8" customFormat="false" ht="15" hidden="false" customHeight="false" outlineLevel="0" collapsed="false">
      <c r="A8" s="14"/>
      <c r="B8" s="14"/>
      <c r="C8" s="15"/>
      <c r="D8" s="15"/>
      <c r="E8" s="16"/>
      <c r="F8" s="16"/>
      <c r="G8" s="17"/>
      <c r="H8" s="15"/>
      <c r="I8" s="14"/>
      <c r="J8" s="18" t="str">
        <f aca="false">IF($C8&lt;&gt;"","Actual orders",IF($E8&lt;&gt;"","Est. from revenue",IF($D8&lt;&gt;"","Est. from traffic × CVR","")))</f>
        <v/>
      </c>
      <c r="K8" s="19" t="n">
        <f aca="false">IF($F8&lt;&gt;"",$F8,IFERROR(INDEX(Assumptions!$D$28:$D$39,MATCH($B8,Assumptions!$B$28:$B$39,0)),Assumptions!$C$19))</f>
        <v>250</v>
      </c>
      <c r="L8" s="20" t="str">
        <f aca="false">IF($C8&lt;&gt;"",$C8/Assumptions!$C$17,IF($E8&lt;&gt;"",$E8*1000000/12/$K8/Assumptions!$C$17,IF($D8&lt;&gt;"",$D8*IF($G8&lt;&gt;"",$G8,IFERROR(INDEX(Assumptions!$C$28:$C$39,MATCH($B8,Assumptions!$B$28:$B$39,0)),Assumptions!$C$18)),"")))</f>
        <v/>
      </c>
      <c r="M8" s="20" t="str">
        <f aca="false">IF($L8="","",IF($D8&lt;&gt;"",$D8,$L8/IF($G8&lt;&gt;"",$G8,IFERROR(INDEX(Assumptions!$C$28:$C$39,MATCH($B8,Assumptions!$B$28:$B$39,0)),Assumptions!$C$18))))</f>
        <v/>
      </c>
      <c r="N8" s="21" t="str">
        <f aca="false">IF($L8="","",MIN($L8/$M8,0.95))</f>
        <v/>
      </c>
      <c r="O8" s="20" t="str">
        <f aca="false">IF($L8="","",$L8*Assumptions!$C$17*12/52)</f>
        <v/>
      </c>
      <c r="P8" s="22" t="str">
        <f aca="false">IF($L8="","",14*((2*Assumptions!$C$23*($N8*(1-$N8)+$N8*(1+Assumptions!$C$11)*(1-$N8*(1+Assumptions!$C$11)))/($N8*Assumptions!$C$11)^2/Assumptions!$C$14)/($M8*Assumptions!$C$24))^(1/Assumptions!$C$16)/7)</f>
        <v/>
      </c>
      <c r="Q8" s="22" t="str">
        <f aca="false">IF($L8="","",14*((2*Assumptions!$C$23*($N8*(1-$N8)+$N8*(1+Assumptions!$C$12)*(1-$N8*(1+Assumptions!$C$12)))/($N8*Assumptions!$C$12)^2/Assumptions!$C$14)/($M8*Assumptions!$C$24))^(1/Assumptions!$C$16)/7)</f>
        <v/>
      </c>
      <c r="R8" s="22" t="str">
        <f aca="false">IF($L8="","",14*((2*Assumptions!$C$23*($N8*(1-$N8)+$N8*(1+Assumptions!$C$13)*(1-$N8*(1+Assumptions!$C$13)))/($N8*Assumptions!$C$13)^2/Assumptions!$C$14)/($M8*Assumptions!$C$24))^(1/Assumptions!$C$16)/7)</f>
        <v/>
      </c>
      <c r="S8" s="23" t="str">
        <f aca="false">IF($L8="","",IF($P8&lt;=Assumptions!$C$9,"Tier 1",IF($P8&lt;=Assumptions!$C$10,"Tier 1 (3-wk)",IF($Q8&lt;=Assumptions!$C$10,"Tier 2",IF($R8&lt;=Assumptions!$C$10,"Tier 3",IF(AND($H8&lt;&gt;"",14*((2*Assumptions!$C$23*(MIN($H8*52/12/$M8,0.95)*(1-MIN($H8*52/12/$M8,0.95))+MIN($H8*52/12/$M8,0.95)*(1+Assumptions!$C$12)*(1-MIN($H8*52/12/$M8,0.95)*(1+Assumptions!$C$12)))/(MIN($H8*52/12/$M8,0.95)*Assumptions!$C$12)^2/Assumptions!$C$14)/($M8*Assumptions!$C$24))^(1/Assumptions!$C$16)/7&lt;=Assumptions!$C$10),"Not a fit — micro-conversion tests only","Not a fit"))))))</f>
        <v/>
      </c>
      <c r="T8" s="18" t="str">
        <f aca="false">IF($S8="","",IF(LEFT($S8,6)="Tier 1","Pursue — trial + fast programme: 5% lifts read in 2–3 weeks",IF($S8="Tier 2","Qualify — bold tests only (10%+ lifts); funnel-wide, 3-week reads",IF($S8="Tier 3","Deprioritise — only exceptional (20%) changes read in 3 weeks",IF($S8="Not a fit","Do not trial A/B — purchase tests cannot read in 3 weeks","Trial only if tests are scored on CTA clicks / leads, not purchases")))))</f>
        <v/>
      </c>
      <c r="U8" s="19" t="str">
        <f aca="false">IF($L8="","",$L8*Assumptions!$C$17*$K8*12/1000000)</f>
        <v/>
      </c>
      <c r="W8" s="27" t="s">
        <v>28</v>
      </c>
      <c r="X8" s="18" t="n">
        <f aca="false">COUNTIF($S$5:$S$154,W8&amp;"*")</f>
        <v>0</v>
      </c>
    </row>
    <row r="9" customFormat="false" ht="15" hidden="false" customHeight="false" outlineLevel="0" collapsed="false">
      <c r="A9" s="14"/>
      <c r="B9" s="14"/>
      <c r="C9" s="15"/>
      <c r="D9" s="15"/>
      <c r="E9" s="16"/>
      <c r="F9" s="16"/>
      <c r="G9" s="17"/>
      <c r="H9" s="15"/>
      <c r="I9" s="14"/>
      <c r="J9" s="18" t="str">
        <f aca="false">IF($C9&lt;&gt;"","Actual orders",IF($E9&lt;&gt;"","Est. from revenue",IF($D9&lt;&gt;"","Est. from traffic × CVR","")))</f>
        <v/>
      </c>
      <c r="K9" s="19" t="n">
        <f aca="false">IF($F9&lt;&gt;"",$F9,IFERROR(INDEX(Assumptions!$D$28:$D$39,MATCH($B9,Assumptions!$B$28:$B$39,0)),Assumptions!$C$19))</f>
        <v>250</v>
      </c>
      <c r="L9" s="20" t="str">
        <f aca="false">IF($C9&lt;&gt;"",$C9/Assumptions!$C$17,IF($E9&lt;&gt;"",$E9*1000000/12/$K9/Assumptions!$C$17,IF($D9&lt;&gt;"",$D9*IF($G9&lt;&gt;"",$G9,IFERROR(INDEX(Assumptions!$C$28:$C$39,MATCH($B9,Assumptions!$B$28:$B$39,0)),Assumptions!$C$18)),"")))</f>
        <v/>
      </c>
      <c r="M9" s="20" t="str">
        <f aca="false">IF($L9="","",IF($D9&lt;&gt;"",$D9,$L9/IF($G9&lt;&gt;"",$G9,IFERROR(INDEX(Assumptions!$C$28:$C$39,MATCH($B9,Assumptions!$B$28:$B$39,0)),Assumptions!$C$18))))</f>
        <v/>
      </c>
      <c r="N9" s="21" t="str">
        <f aca="false">IF($L9="","",MIN($L9/$M9,0.95))</f>
        <v/>
      </c>
      <c r="O9" s="20" t="str">
        <f aca="false">IF($L9="","",$L9*Assumptions!$C$17*12/52)</f>
        <v/>
      </c>
      <c r="P9" s="22" t="str">
        <f aca="false">IF($L9="","",14*((2*Assumptions!$C$23*($N9*(1-$N9)+$N9*(1+Assumptions!$C$11)*(1-$N9*(1+Assumptions!$C$11)))/($N9*Assumptions!$C$11)^2/Assumptions!$C$14)/($M9*Assumptions!$C$24))^(1/Assumptions!$C$16)/7)</f>
        <v/>
      </c>
      <c r="Q9" s="22" t="str">
        <f aca="false">IF($L9="","",14*((2*Assumptions!$C$23*($N9*(1-$N9)+$N9*(1+Assumptions!$C$12)*(1-$N9*(1+Assumptions!$C$12)))/($N9*Assumptions!$C$12)^2/Assumptions!$C$14)/($M9*Assumptions!$C$24))^(1/Assumptions!$C$16)/7)</f>
        <v/>
      </c>
      <c r="R9" s="22" t="str">
        <f aca="false">IF($L9="","",14*((2*Assumptions!$C$23*($N9*(1-$N9)+$N9*(1+Assumptions!$C$13)*(1-$N9*(1+Assumptions!$C$13)))/($N9*Assumptions!$C$13)^2/Assumptions!$C$14)/($M9*Assumptions!$C$24))^(1/Assumptions!$C$16)/7)</f>
        <v/>
      </c>
      <c r="S9" s="23" t="str">
        <f aca="false">IF($L9="","",IF($P9&lt;=Assumptions!$C$9,"Tier 1",IF($P9&lt;=Assumptions!$C$10,"Tier 1 (3-wk)",IF($Q9&lt;=Assumptions!$C$10,"Tier 2",IF($R9&lt;=Assumptions!$C$10,"Tier 3",IF(AND($H9&lt;&gt;"",14*((2*Assumptions!$C$23*(MIN($H9*52/12/$M9,0.95)*(1-MIN($H9*52/12/$M9,0.95))+MIN($H9*52/12/$M9,0.95)*(1+Assumptions!$C$12)*(1-MIN($H9*52/12/$M9,0.95)*(1+Assumptions!$C$12)))/(MIN($H9*52/12/$M9,0.95)*Assumptions!$C$12)^2/Assumptions!$C$14)/($M9*Assumptions!$C$24))^(1/Assumptions!$C$16)/7&lt;=Assumptions!$C$10),"Not a fit — micro-conversion tests only","Not a fit"))))))</f>
        <v/>
      </c>
      <c r="T9" s="18" t="str">
        <f aca="false">IF($S9="","",IF(LEFT($S9,6)="Tier 1","Pursue — trial + fast programme: 5% lifts read in 2–3 weeks",IF($S9="Tier 2","Qualify — bold tests only (10%+ lifts); funnel-wide, 3-week reads",IF($S9="Tier 3","Deprioritise — only exceptional (20%) changes read in 3 weeks",IF($S9="Not a fit","Do not trial A/B — purchase tests cannot read in 3 weeks","Trial only if tests are scored on CTA clicks / leads, not purchases")))))</f>
        <v/>
      </c>
      <c r="U9" s="19" t="str">
        <f aca="false">IF($L9="","",$L9*Assumptions!$C$17*$K9*12/1000000)</f>
        <v/>
      </c>
    </row>
    <row r="10" customFormat="false" ht="15" hidden="false" customHeight="false" outlineLevel="0" collapsed="false">
      <c r="A10" s="14"/>
      <c r="B10" s="14"/>
      <c r="C10" s="15"/>
      <c r="D10" s="15"/>
      <c r="E10" s="16"/>
      <c r="F10" s="16"/>
      <c r="G10" s="17"/>
      <c r="H10" s="15"/>
      <c r="I10" s="14"/>
      <c r="J10" s="18" t="str">
        <f aca="false">IF($C10&lt;&gt;"","Actual orders",IF($E10&lt;&gt;"","Est. from revenue",IF($D10&lt;&gt;"","Est. from traffic × CVR","")))</f>
        <v/>
      </c>
      <c r="K10" s="19" t="n">
        <f aca="false">IF($F10&lt;&gt;"",$F10,IFERROR(INDEX(Assumptions!$D$28:$D$39,MATCH($B10,Assumptions!$B$28:$B$39,0)),Assumptions!$C$19))</f>
        <v>250</v>
      </c>
      <c r="L10" s="20" t="str">
        <f aca="false">IF($C10&lt;&gt;"",$C10/Assumptions!$C$17,IF($E10&lt;&gt;"",$E10*1000000/12/$K10/Assumptions!$C$17,IF($D10&lt;&gt;"",$D10*IF($G10&lt;&gt;"",$G10,IFERROR(INDEX(Assumptions!$C$28:$C$39,MATCH($B10,Assumptions!$B$28:$B$39,0)),Assumptions!$C$18)),"")))</f>
        <v/>
      </c>
      <c r="M10" s="20" t="str">
        <f aca="false">IF($L10="","",IF($D10&lt;&gt;"",$D10,$L10/IF($G10&lt;&gt;"",$G10,IFERROR(INDEX(Assumptions!$C$28:$C$39,MATCH($B10,Assumptions!$B$28:$B$39,0)),Assumptions!$C$18))))</f>
        <v/>
      </c>
      <c r="N10" s="21" t="str">
        <f aca="false">IF($L10="","",MIN($L10/$M10,0.95))</f>
        <v/>
      </c>
      <c r="O10" s="20" t="str">
        <f aca="false">IF($L10="","",$L10*Assumptions!$C$17*12/52)</f>
        <v/>
      </c>
      <c r="P10" s="22" t="str">
        <f aca="false">IF($L10="","",14*((2*Assumptions!$C$23*($N10*(1-$N10)+$N10*(1+Assumptions!$C$11)*(1-$N10*(1+Assumptions!$C$11)))/($N10*Assumptions!$C$11)^2/Assumptions!$C$14)/($M10*Assumptions!$C$24))^(1/Assumptions!$C$16)/7)</f>
        <v/>
      </c>
      <c r="Q10" s="22" t="str">
        <f aca="false">IF($L10="","",14*((2*Assumptions!$C$23*($N10*(1-$N10)+$N10*(1+Assumptions!$C$12)*(1-$N10*(1+Assumptions!$C$12)))/($N10*Assumptions!$C$12)^2/Assumptions!$C$14)/($M10*Assumptions!$C$24))^(1/Assumptions!$C$16)/7)</f>
        <v/>
      </c>
      <c r="R10" s="22" t="str">
        <f aca="false">IF($L10="","",14*((2*Assumptions!$C$23*($N10*(1-$N10)+$N10*(1+Assumptions!$C$13)*(1-$N10*(1+Assumptions!$C$13)))/($N10*Assumptions!$C$13)^2/Assumptions!$C$14)/($M10*Assumptions!$C$24))^(1/Assumptions!$C$16)/7)</f>
        <v/>
      </c>
      <c r="S10" s="23" t="str">
        <f aca="false">IF($L10="","",IF($P10&lt;=Assumptions!$C$9,"Tier 1",IF($P10&lt;=Assumptions!$C$10,"Tier 1 (3-wk)",IF($Q10&lt;=Assumptions!$C$10,"Tier 2",IF($R10&lt;=Assumptions!$C$10,"Tier 3",IF(AND($H10&lt;&gt;"",14*((2*Assumptions!$C$23*(MIN($H10*52/12/$M10,0.95)*(1-MIN($H10*52/12/$M10,0.95))+MIN($H10*52/12/$M10,0.95)*(1+Assumptions!$C$12)*(1-MIN($H10*52/12/$M10,0.95)*(1+Assumptions!$C$12)))/(MIN($H10*52/12/$M10,0.95)*Assumptions!$C$12)^2/Assumptions!$C$14)/($M10*Assumptions!$C$24))^(1/Assumptions!$C$16)/7&lt;=Assumptions!$C$10),"Not a fit — micro-conversion tests only","Not a fit"))))))</f>
        <v/>
      </c>
      <c r="T10" s="18" t="str">
        <f aca="false">IF($S10="","",IF(LEFT($S10,6)="Tier 1","Pursue — trial + fast programme: 5% lifts read in 2–3 weeks",IF($S10="Tier 2","Qualify — bold tests only (10%+ lifts); funnel-wide, 3-week reads",IF($S10="Tier 3","Deprioritise — only exceptional (20%) changes read in 3 weeks",IF($S10="Not a fit","Do not trial A/B — purchase tests cannot read in 3 weeks","Trial only if tests are scored on CTA clicks / leads, not purchases")))))</f>
        <v/>
      </c>
      <c r="U10" s="19" t="str">
        <f aca="false">IF($L10="","",$L10*Assumptions!$C$17*$K10*12/1000000)</f>
        <v/>
      </c>
    </row>
    <row r="11" customFormat="false" ht="15" hidden="false" customHeight="false" outlineLevel="0" collapsed="false">
      <c r="A11" s="14"/>
      <c r="B11" s="14"/>
      <c r="C11" s="15"/>
      <c r="D11" s="15"/>
      <c r="E11" s="16"/>
      <c r="F11" s="16"/>
      <c r="G11" s="17"/>
      <c r="H11" s="15"/>
      <c r="I11" s="14"/>
      <c r="J11" s="18" t="str">
        <f aca="false">IF($C11&lt;&gt;"","Actual orders",IF($E11&lt;&gt;"","Est. from revenue",IF($D11&lt;&gt;"","Est. from traffic × CVR","")))</f>
        <v/>
      </c>
      <c r="K11" s="19" t="n">
        <f aca="false">IF($F11&lt;&gt;"",$F11,IFERROR(INDEX(Assumptions!$D$28:$D$39,MATCH($B11,Assumptions!$B$28:$B$39,0)),Assumptions!$C$19))</f>
        <v>250</v>
      </c>
      <c r="L11" s="20" t="str">
        <f aca="false">IF($C11&lt;&gt;"",$C11/Assumptions!$C$17,IF($E11&lt;&gt;"",$E11*1000000/12/$K11/Assumptions!$C$17,IF($D11&lt;&gt;"",$D11*IF($G11&lt;&gt;"",$G11,IFERROR(INDEX(Assumptions!$C$28:$C$39,MATCH($B11,Assumptions!$B$28:$B$39,0)),Assumptions!$C$18)),"")))</f>
        <v/>
      </c>
      <c r="M11" s="20" t="str">
        <f aca="false">IF($L11="","",IF($D11&lt;&gt;"",$D11,$L11/IF($G11&lt;&gt;"",$G11,IFERROR(INDEX(Assumptions!$C$28:$C$39,MATCH($B11,Assumptions!$B$28:$B$39,0)),Assumptions!$C$18))))</f>
        <v/>
      </c>
      <c r="N11" s="21" t="str">
        <f aca="false">IF($L11="","",MIN($L11/$M11,0.95))</f>
        <v/>
      </c>
      <c r="O11" s="20" t="str">
        <f aca="false">IF($L11="","",$L11*Assumptions!$C$17*12/52)</f>
        <v/>
      </c>
      <c r="P11" s="22" t="str">
        <f aca="false">IF($L11="","",14*((2*Assumptions!$C$23*($N11*(1-$N11)+$N11*(1+Assumptions!$C$11)*(1-$N11*(1+Assumptions!$C$11)))/($N11*Assumptions!$C$11)^2/Assumptions!$C$14)/($M11*Assumptions!$C$24))^(1/Assumptions!$C$16)/7)</f>
        <v/>
      </c>
      <c r="Q11" s="22" t="str">
        <f aca="false">IF($L11="","",14*((2*Assumptions!$C$23*($N11*(1-$N11)+$N11*(1+Assumptions!$C$12)*(1-$N11*(1+Assumptions!$C$12)))/($N11*Assumptions!$C$12)^2/Assumptions!$C$14)/($M11*Assumptions!$C$24))^(1/Assumptions!$C$16)/7)</f>
        <v/>
      </c>
      <c r="R11" s="22" t="str">
        <f aca="false">IF($L11="","",14*((2*Assumptions!$C$23*($N11*(1-$N11)+$N11*(1+Assumptions!$C$13)*(1-$N11*(1+Assumptions!$C$13)))/($N11*Assumptions!$C$13)^2/Assumptions!$C$14)/($M11*Assumptions!$C$24))^(1/Assumptions!$C$16)/7)</f>
        <v/>
      </c>
      <c r="S11" s="23" t="str">
        <f aca="false">IF($L11="","",IF($P11&lt;=Assumptions!$C$9,"Tier 1",IF($P11&lt;=Assumptions!$C$10,"Tier 1 (3-wk)",IF($Q11&lt;=Assumptions!$C$10,"Tier 2",IF($R11&lt;=Assumptions!$C$10,"Tier 3",IF(AND($H11&lt;&gt;"",14*((2*Assumptions!$C$23*(MIN($H11*52/12/$M11,0.95)*(1-MIN($H11*52/12/$M11,0.95))+MIN($H11*52/12/$M11,0.95)*(1+Assumptions!$C$12)*(1-MIN($H11*52/12/$M11,0.95)*(1+Assumptions!$C$12)))/(MIN($H11*52/12/$M11,0.95)*Assumptions!$C$12)^2/Assumptions!$C$14)/($M11*Assumptions!$C$24))^(1/Assumptions!$C$16)/7&lt;=Assumptions!$C$10),"Not a fit — micro-conversion tests only","Not a fit"))))))</f>
        <v/>
      </c>
      <c r="T11" s="18" t="str">
        <f aca="false">IF($S11="","",IF(LEFT($S11,6)="Tier 1","Pursue — trial + fast programme: 5% lifts read in 2–3 weeks",IF($S11="Tier 2","Qualify — bold tests only (10%+ lifts); funnel-wide, 3-week reads",IF($S11="Tier 3","Deprioritise — only exceptional (20%) changes read in 3 weeks",IF($S11="Not a fit","Do not trial A/B — purchase tests cannot read in 3 weeks","Trial only if tests are scored on CTA clicks / leads, not purchases")))))</f>
        <v/>
      </c>
      <c r="U11" s="19" t="str">
        <f aca="false">IF($L11="","",$L11*Assumptions!$C$17*$K11*12/1000000)</f>
        <v/>
      </c>
    </row>
    <row r="12" customFormat="false" ht="15" hidden="false" customHeight="false" outlineLevel="0" collapsed="false">
      <c r="A12" s="14"/>
      <c r="B12" s="14"/>
      <c r="C12" s="15"/>
      <c r="D12" s="15"/>
      <c r="E12" s="16"/>
      <c r="F12" s="16"/>
      <c r="G12" s="17"/>
      <c r="H12" s="15"/>
      <c r="I12" s="14"/>
      <c r="J12" s="18" t="str">
        <f aca="false">IF($C12&lt;&gt;"","Actual orders",IF($E12&lt;&gt;"","Est. from revenue",IF($D12&lt;&gt;"","Est. from traffic × CVR","")))</f>
        <v/>
      </c>
      <c r="K12" s="19" t="n">
        <f aca="false">IF($F12&lt;&gt;"",$F12,IFERROR(INDEX(Assumptions!$D$28:$D$39,MATCH($B12,Assumptions!$B$28:$B$39,0)),Assumptions!$C$19))</f>
        <v>250</v>
      </c>
      <c r="L12" s="20" t="str">
        <f aca="false">IF($C12&lt;&gt;"",$C12/Assumptions!$C$17,IF($E12&lt;&gt;"",$E12*1000000/12/$K12/Assumptions!$C$17,IF($D12&lt;&gt;"",$D12*IF($G12&lt;&gt;"",$G12,IFERROR(INDEX(Assumptions!$C$28:$C$39,MATCH($B12,Assumptions!$B$28:$B$39,0)),Assumptions!$C$18)),"")))</f>
        <v/>
      </c>
      <c r="M12" s="20" t="str">
        <f aca="false">IF($L12="","",IF($D12&lt;&gt;"",$D12,$L12/IF($G12&lt;&gt;"",$G12,IFERROR(INDEX(Assumptions!$C$28:$C$39,MATCH($B12,Assumptions!$B$28:$B$39,0)),Assumptions!$C$18))))</f>
        <v/>
      </c>
      <c r="N12" s="21" t="str">
        <f aca="false">IF($L12="","",MIN($L12/$M12,0.95))</f>
        <v/>
      </c>
      <c r="O12" s="20" t="str">
        <f aca="false">IF($L12="","",$L12*Assumptions!$C$17*12/52)</f>
        <v/>
      </c>
      <c r="P12" s="22" t="str">
        <f aca="false">IF($L12="","",14*((2*Assumptions!$C$23*($N12*(1-$N12)+$N12*(1+Assumptions!$C$11)*(1-$N12*(1+Assumptions!$C$11)))/($N12*Assumptions!$C$11)^2/Assumptions!$C$14)/($M12*Assumptions!$C$24))^(1/Assumptions!$C$16)/7)</f>
        <v/>
      </c>
      <c r="Q12" s="22" t="str">
        <f aca="false">IF($L12="","",14*((2*Assumptions!$C$23*($N12*(1-$N12)+$N12*(1+Assumptions!$C$12)*(1-$N12*(1+Assumptions!$C$12)))/($N12*Assumptions!$C$12)^2/Assumptions!$C$14)/($M12*Assumptions!$C$24))^(1/Assumptions!$C$16)/7)</f>
        <v/>
      </c>
      <c r="R12" s="22" t="str">
        <f aca="false">IF($L12="","",14*((2*Assumptions!$C$23*($N12*(1-$N12)+$N12*(1+Assumptions!$C$13)*(1-$N12*(1+Assumptions!$C$13)))/($N12*Assumptions!$C$13)^2/Assumptions!$C$14)/($M12*Assumptions!$C$24))^(1/Assumptions!$C$16)/7)</f>
        <v/>
      </c>
      <c r="S12" s="23" t="str">
        <f aca="false">IF($L12="","",IF($P12&lt;=Assumptions!$C$9,"Tier 1",IF($P12&lt;=Assumptions!$C$10,"Tier 1 (3-wk)",IF($Q12&lt;=Assumptions!$C$10,"Tier 2",IF($R12&lt;=Assumptions!$C$10,"Tier 3",IF(AND($H12&lt;&gt;"",14*((2*Assumptions!$C$23*(MIN($H12*52/12/$M12,0.95)*(1-MIN($H12*52/12/$M12,0.95))+MIN($H12*52/12/$M12,0.95)*(1+Assumptions!$C$12)*(1-MIN($H12*52/12/$M12,0.95)*(1+Assumptions!$C$12)))/(MIN($H12*52/12/$M12,0.95)*Assumptions!$C$12)^2/Assumptions!$C$14)/($M12*Assumptions!$C$24))^(1/Assumptions!$C$16)/7&lt;=Assumptions!$C$10),"Not a fit — micro-conversion tests only","Not a fit"))))))</f>
        <v/>
      </c>
      <c r="T12" s="18" t="str">
        <f aca="false">IF($S12="","",IF(LEFT($S12,6)="Tier 1","Pursue — trial + fast programme: 5% lifts read in 2–3 weeks",IF($S12="Tier 2","Qualify — bold tests only (10%+ lifts); funnel-wide, 3-week reads",IF($S12="Tier 3","Deprioritise — only exceptional (20%) changes read in 3 weeks",IF($S12="Not a fit","Do not trial A/B — purchase tests cannot read in 3 weeks","Trial only if tests are scored on CTA clicks / leads, not purchases")))))</f>
        <v/>
      </c>
      <c r="U12" s="19" t="str">
        <f aca="false">IF($L12="","",$L12*Assumptions!$C$17*$K12*12/1000000)</f>
        <v/>
      </c>
    </row>
    <row r="13" customFormat="false" ht="15" hidden="false" customHeight="false" outlineLevel="0" collapsed="false">
      <c r="A13" s="14"/>
      <c r="B13" s="14"/>
      <c r="C13" s="15"/>
      <c r="D13" s="15"/>
      <c r="E13" s="16"/>
      <c r="F13" s="16"/>
      <c r="G13" s="17"/>
      <c r="H13" s="15"/>
      <c r="I13" s="14"/>
      <c r="J13" s="18" t="str">
        <f aca="false">IF($C13&lt;&gt;"","Actual orders",IF($E13&lt;&gt;"","Est. from revenue",IF($D13&lt;&gt;"","Est. from traffic × CVR","")))</f>
        <v/>
      </c>
      <c r="K13" s="19" t="n">
        <f aca="false">IF($F13&lt;&gt;"",$F13,IFERROR(INDEX(Assumptions!$D$28:$D$39,MATCH($B13,Assumptions!$B$28:$B$39,0)),Assumptions!$C$19))</f>
        <v>250</v>
      </c>
      <c r="L13" s="20" t="str">
        <f aca="false">IF($C13&lt;&gt;"",$C13/Assumptions!$C$17,IF($E13&lt;&gt;"",$E13*1000000/12/$K13/Assumptions!$C$17,IF($D13&lt;&gt;"",$D13*IF($G13&lt;&gt;"",$G13,IFERROR(INDEX(Assumptions!$C$28:$C$39,MATCH($B13,Assumptions!$B$28:$B$39,0)),Assumptions!$C$18)),"")))</f>
        <v/>
      </c>
      <c r="M13" s="20" t="str">
        <f aca="false">IF($L13="","",IF($D13&lt;&gt;"",$D13,$L13/IF($G13&lt;&gt;"",$G13,IFERROR(INDEX(Assumptions!$C$28:$C$39,MATCH($B13,Assumptions!$B$28:$B$39,0)),Assumptions!$C$18))))</f>
        <v/>
      </c>
      <c r="N13" s="21" t="str">
        <f aca="false">IF($L13="","",MIN($L13/$M13,0.95))</f>
        <v/>
      </c>
      <c r="O13" s="20" t="str">
        <f aca="false">IF($L13="","",$L13*Assumptions!$C$17*12/52)</f>
        <v/>
      </c>
      <c r="P13" s="22" t="str">
        <f aca="false">IF($L13="","",14*((2*Assumptions!$C$23*($N13*(1-$N13)+$N13*(1+Assumptions!$C$11)*(1-$N13*(1+Assumptions!$C$11)))/($N13*Assumptions!$C$11)^2/Assumptions!$C$14)/($M13*Assumptions!$C$24))^(1/Assumptions!$C$16)/7)</f>
        <v/>
      </c>
      <c r="Q13" s="22" t="str">
        <f aca="false">IF($L13="","",14*((2*Assumptions!$C$23*($N13*(1-$N13)+$N13*(1+Assumptions!$C$12)*(1-$N13*(1+Assumptions!$C$12)))/($N13*Assumptions!$C$12)^2/Assumptions!$C$14)/($M13*Assumptions!$C$24))^(1/Assumptions!$C$16)/7)</f>
        <v/>
      </c>
      <c r="R13" s="22" t="str">
        <f aca="false">IF($L13="","",14*((2*Assumptions!$C$23*($N13*(1-$N13)+$N13*(1+Assumptions!$C$13)*(1-$N13*(1+Assumptions!$C$13)))/($N13*Assumptions!$C$13)^2/Assumptions!$C$14)/($M13*Assumptions!$C$24))^(1/Assumptions!$C$16)/7)</f>
        <v/>
      </c>
      <c r="S13" s="23" t="str">
        <f aca="false">IF($L13="","",IF($P13&lt;=Assumptions!$C$9,"Tier 1",IF($P13&lt;=Assumptions!$C$10,"Tier 1 (3-wk)",IF($Q13&lt;=Assumptions!$C$10,"Tier 2",IF($R13&lt;=Assumptions!$C$10,"Tier 3",IF(AND($H13&lt;&gt;"",14*((2*Assumptions!$C$23*(MIN($H13*52/12/$M13,0.95)*(1-MIN($H13*52/12/$M13,0.95))+MIN($H13*52/12/$M13,0.95)*(1+Assumptions!$C$12)*(1-MIN($H13*52/12/$M13,0.95)*(1+Assumptions!$C$12)))/(MIN($H13*52/12/$M13,0.95)*Assumptions!$C$12)^2/Assumptions!$C$14)/($M13*Assumptions!$C$24))^(1/Assumptions!$C$16)/7&lt;=Assumptions!$C$10),"Not a fit — micro-conversion tests only","Not a fit"))))))</f>
        <v/>
      </c>
      <c r="T13" s="18" t="str">
        <f aca="false">IF($S13="","",IF(LEFT($S13,6)="Tier 1","Pursue — trial + fast programme: 5% lifts read in 2–3 weeks",IF($S13="Tier 2","Qualify — bold tests only (10%+ lifts); funnel-wide, 3-week reads",IF($S13="Tier 3","Deprioritise — only exceptional (20%) changes read in 3 weeks",IF($S13="Not a fit","Do not trial A/B — purchase tests cannot read in 3 weeks","Trial only if tests are scored on CTA clicks / leads, not purchases")))))</f>
        <v/>
      </c>
      <c r="U13" s="19" t="str">
        <f aca="false">IF($L13="","",$L13*Assumptions!$C$17*$K13*12/1000000)</f>
        <v/>
      </c>
    </row>
    <row r="14" customFormat="false" ht="15" hidden="false" customHeight="false" outlineLevel="0" collapsed="false">
      <c r="A14" s="14"/>
      <c r="B14" s="14"/>
      <c r="C14" s="15"/>
      <c r="D14" s="15"/>
      <c r="E14" s="16"/>
      <c r="F14" s="16"/>
      <c r="G14" s="17"/>
      <c r="H14" s="15"/>
      <c r="I14" s="14"/>
      <c r="J14" s="18" t="str">
        <f aca="false">IF($C14&lt;&gt;"","Actual orders",IF($E14&lt;&gt;"","Est. from revenue",IF($D14&lt;&gt;"","Est. from traffic × CVR","")))</f>
        <v/>
      </c>
      <c r="K14" s="19" t="n">
        <f aca="false">IF($F14&lt;&gt;"",$F14,IFERROR(INDEX(Assumptions!$D$28:$D$39,MATCH($B14,Assumptions!$B$28:$B$39,0)),Assumptions!$C$19))</f>
        <v>250</v>
      </c>
      <c r="L14" s="20" t="str">
        <f aca="false">IF($C14&lt;&gt;"",$C14/Assumptions!$C$17,IF($E14&lt;&gt;"",$E14*1000000/12/$K14/Assumptions!$C$17,IF($D14&lt;&gt;"",$D14*IF($G14&lt;&gt;"",$G14,IFERROR(INDEX(Assumptions!$C$28:$C$39,MATCH($B14,Assumptions!$B$28:$B$39,0)),Assumptions!$C$18)),"")))</f>
        <v/>
      </c>
      <c r="M14" s="20" t="str">
        <f aca="false">IF($L14="","",IF($D14&lt;&gt;"",$D14,$L14/IF($G14&lt;&gt;"",$G14,IFERROR(INDEX(Assumptions!$C$28:$C$39,MATCH($B14,Assumptions!$B$28:$B$39,0)),Assumptions!$C$18))))</f>
        <v/>
      </c>
      <c r="N14" s="21" t="str">
        <f aca="false">IF($L14="","",MIN($L14/$M14,0.95))</f>
        <v/>
      </c>
      <c r="O14" s="20" t="str">
        <f aca="false">IF($L14="","",$L14*Assumptions!$C$17*12/52)</f>
        <v/>
      </c>
      <c r="P14" s="22" t="str">
        <f aca="false">IF($L14="","",14*((2*Assumptions!$C$23*($N14*(1-$N14)+$N14*(1+Assumptions!$C$11)*(1-$N14*(1+Assumptions!$C$11)))/($N14*Assumptions!$C$11)^2/Assumptions!$C$14)/($M14*Assumptions!$C$24))^(1/Assumptions!$C$16)/7)</f>
        <v/>
      </c>
      <c r="Q14" s="22" t="str">
        <f aca="false">IF($L14="","",14*((2*Assumptions!$C$23*($N14*(1-$N14)+$N14*(1+Assumptions!$C$12)*(1-$N14*(1+Assumptions!$C$12)))/($N14*Assumptions!$C$12)^2/Assumptions!$C$14)/($M14*Assumptions!$C$24))^(1/Assumptions!$C$16)/7)</f>
        <v/>
      </c>
      <c r="R14" s="22" t="str">
        <f aca="false">IF($L14="","",14*((2*Assumptions!$C$23*($N14*(1-$N14)+$N14*(1+Assumptions!$C$13)*(1-$N14*(1+Assumptions!$C$13)))/($N14*Assumptions!$C$13)^2/Assumptions!$C$14)/($M14*Assumptions!$C$24))^(1/Assumptions!$C$16)/7)</f>
        <v/>
      </c>
      <c r="S14" s="23" t="str">
        <f aca="false">IF($L14="","",IF($P14&lt;=Assumptions!$C$9,"Tier 1",IF($P14&lt;=Assumptions!$C$10,"Tier 1 (3-wk)",IF($Q14&lt;=Assumptions!$C$10,"Tier 2",IF($R14&lt;=Assumptions!$C$10,"Tier 3",IF(AND($H14&lt;&gt;"",14*((2*Assumptions!$C$23*(MIN($H14*52/12/$M14,0.95)*(1-MIN($H14*52/12/$M14,0.95))+MIN($H14*52/12/$M14,0.95)*(1+Assumptions!$C$12)*(1-MIN($H14*52/12/$M14,0.95)*(1+Assumptions!$C$12)))/(MIN($H14*52/12/$M14,0.95)*Assumptions!$C$12)^2/Assumptions!$C$14)/($M14*Assumptions!$C$24))^(1/Assumptions!$C$16)/7&lt;=Assumptions!$C$10),"Not a fit — micro-conversion tests only","Not a fit"))))))</f>
        <v/>
      </c>
      <c r="T14" s="18" t="str">
        <f aca="false">IF($S14="","",IF(LEFT($S14,6)="Tier 1","Pursue — trial + fast programme: 5% lifts read in 2–3 weeks",IF($S14="Tier 2","Qualify — bold tests only (10%+ lifts); funnel-wide, 3-week reads",IF($S14="Tier 3","Deprioritise — only exceptional (20%) changes read in 3 weeks",IF($S14="Not a fit","Do not trial A/B — purchase tests cannot read in 3 weeks","Trial only if tests are scored on CTA clicks / leads, not purchases")))))</f>
        <v/>
      </c>
      <c r="U14" s="19" t="str">
        <f aca="false">IF($L14="","",$L14*Assumptions!$C$17*$K14*12/1000000)</f>
        <v/>
      </c>
    </row>
    <row r="15" customFormat="false" ht="15" hidden="false" customHeight="false" outlineLevel="0" collapsed="false">
      <c r="A15" s="14"/>
      <c r="B15" s="14"/>
      <c r="C15" s="15"/>
      <c r="D15" s="15"/>
      <c r="E15" s="16"/>
      <c r="F15" s="16"/>
      <c r="G15" s="17"/>
      <c r="H15" s="15"/>
      <c r="I15" s="14"/>
      <c r="J15" s="18" t="str">
        <f aca="false">IF($C15&lt;&gt;"","Actual orders",IF($E15&lt;&gt;"","Est. from revenue",IF($D15&lt;&gt;"","Est. from traffic × CVR","")))</f>
        <v/>
      </c>
      <c r="K15" s="19" t="n">
        <f aca="false">IF($F15&lt;&gt;"",$F15,IFERROR(INDEX(Assumptions!$D$28:$D$39,MATCH($B15,Assumptions!$B$28:$B$39,0)),Assumptions!$C$19))</f>
        <v>250</v>
      </c>
      <c r="L15" s="20" t="str">
        <f aca="false">IF($C15&lt;&gt;"",$C15/Assumptions!$C$17,IF($E15&lt;&gt;"",$E15*1000000/12/$K15/Assumptions!$C$17,IF($D15&lt;&gt;"",$D15*IF($G15&lt;&gt;"",$G15,IFERROR(INDEX(Assumptions!$C$28:$C$39,MATCH($B15,Assumptions!$B$28:$B$39,0)),Assumptions!$C$18)),"")))</f>
        <v/>
      </c>
      <c r="M15" s="20" t="str">
        <f aca="false">IF($L15="","",IF($D15&lt;&gt;"",$D15,$L15/IF($G15&lt;&gt;"",$G15,IFERROR(INDEX(Assumptions!$C$28:$C$39,MATCH($B15,Assumptions!$B$28:$B$39,0)),Assumptions!$C$18))))</f>
        <v/>
      </c>
      <c r="N15" s="21" t="str">
        <f aca="false">IF($L15="","",MIN($L15/$M15,0.95))</f>
        <v/>
      </c>
      <c r="O15" s="20" t="str">
        <f aca="false">IF($L15="","",$L15*Assumptions!$C$17*12/52)</f>
        <v/>
      </c>
      <c r="P15" s="22" t="str">
        <f aca="false">IF($L15="","",14*((2*Assumptions!$C$23*($N15*(1-$N15)+$N15*(1+Assumptions!$C$11)*(1-$N15*(1+Assumptions!$C$11)))/($N15*Assumptions!$C$11)^2/Assumptions!$C$14)/($M15*Assumptions!$C$24))^(1/Assumptions!$C$16)/7)</f>
        <v/>
      </c>
      <c r="Q15" s="22" t="str">
        <f aca="false">IF($L15="","",14*((2*Assumptions!$C$23*($N15*(1-$N15)+$N15*(1+Assumptions!$C$12)*(1-$N15*(1+Assumptions!$C$12)))/($N15*Assumptions!$C$12)^2/Assumptions!$C$14)/($M15*Assumptions!$C$24))^(1/Assumptions!$C$16)/7)</f>
        <v/>
      </c>
      <c r="R15" s="22" t="str">
        <f aca="false">IF($L15="","",14*((2*Assumptions!$C$23*($N15*(1-$N15)+$N15*(1+Assumptions!$C$13)*(1-$N15*(1+Assumptions!$C$13)))/($N15*Assumptions!$C$13)^2/Assumptions!$C$14)/($M15*Assumptions!$C$24))^(1/Assumptions!$C$16)/7)</f>
        <v/>
      </c>
      <c r="S15" s="23" t="str">
        <f aca="false">IF($L15="","",IF($P15&lt;=Assumptions!$C$9,"Tier 1",IF($P15&lt;=Assumptions!$C$10,"Tier 1 (3-wk)",IF($Q15&lt;=Assumptions!$C$10,"Tier 2",IF($R15&lt;=Assumptions!$C$10,"Tier 3",IF(AND($H15&lt;&gt;"",14*((2*Assumptions!$C$23*(MIN($H15*52/12/$M15,0.95)*(1-MIN($H15*52/12/$M15,0.95))+MIN($H15*52/12/$M15,0.95)*(1+Assumptions!$C$12)*(1-MIN($H15*52/12/$M15,0.95)*(1+Assumptions!$C$12)))/(MIN($H15*52/12/$M15,0.95)*Assumptions!$C$12)^2/Assumptions!$C$14)/($M15*Assumptions!$C$24))^(1/Assumptions!$C$16)/7&lt;=Assumptions!$C$10),"Not a fit — micro-conversion tests only","Not a fit"))))))</f>
        <v/>
      </c>
      <c r="T15" s="18" t="str">
        <f aca="false">IF($S15="","",IF(LEFT($S15,6)="Tier 1","Pursue — trial + fast programme: 5% lifts read in 2–3 weeks",IF($S15="Tier 2","Qualify — bold tests only (10%+ lifts); funnel-wide, 3-week reads",IF($S15="Tier 3","Deprioritise — only exceptional (20%) changes read in 3 weeks",IF($S15="Not a fit","Do not trial A/B — purchase tests cannot read in 3 weeks","Trial only if tests are scored on CTA clicks / leads, not purchases")))))</f>
        <v/>
      </c>
      <c r="U15" s="19" t="str">
        <f aca="false">IF($L15="","",$L15*Assumptions!$C$17*$K15*12/1000000)</f>
        <v/>
      </c>
    </row>
    <row r="16" customFormat="false" ht="15" hidden="false" customHeight="false" outlineLevel="0" collapsed="false">
      <c r="A16" s="14"/>
      <c r="B16" s="14"/>
      <c r="C16" s="15"/>
      <c r="D16" s="15"/>
      <c r="E16" s="16"/>
      <c r="F16" s="16"/>
      <c r="G16" s="17"/>
      <c r="H16" s="15"/>
      <c r="I16" s="14"/>
      <c r="J16" s="18" t="str">
        <f aca="false">IF($C16&lt;&gt;"","Actual orders",IF($E16&lt;&gt;"","Est. from revenue",IF($D16&lt;&gt;"","Est. from traffic × CVR","")))</f>
        <v/>
      </c>
      <c r="K16" s="19" t="n">
        <f aca="false">IF($F16&lt;&gt;"",$F16,IFERROR(INDEX(Assumptions!$D$28:$D$39,MATCH($B16,Assumptions!$B$28:$B$39,0)),Assumptions!$C$19))</f>
        <v>250</v>
      </c>
      <c r="L16" s="20" t="str">
        <f aca="false">IF($C16&lt;&gt;"",$C16/Assumptions!$C$17,IF($E16&lt;&gt;"",$E16*1000000/12/$K16/Assumptions!$C$17,IF($D16&lt;&gt;"",$D16*IF($G16&lt;&gt;"",$G16,IFERROR(INDEX(Assumptions!$C$28:$C$39,MATCH($B16,Assumptions!$B$28:$B$39,0)),Assumptions!$C$18)),"")))</f>
        <v/>
      </c>
      <c r="M16" s="20" t="str">
        <f aca="false">IF($L16="","",IF($D16&lt;&gt;"",$D16,$L16/IF($G16&lt;&gt;"",$G16,IFERROR(INDEX(Assumptions!$C$28:$C$39,MATCH($B16,Assumptions!$B$28:$B$39,0)),Assumptions!$C$18))))</f>
        <v/>
      </c>
      <c r="N16" s="21" t="str">
        <f aca="false">IF($L16="","",MIN($L16/$M16,0.95))</f>
        <v/>
      </c>
      <c r="O16" s="20" t="str">
        <f aca="false">IF($L16="","",$L16*Assumptions!$C$17*12/52)</f>
        <v/>
      </c>
      <c r="P16" s="22" t="str">
        <f aca="false">IF($L16="","",14*((2*Assumptions!$C$23*($N16*(1-$N16)+$N16*(1+Assumptions!$C$11)*(1-$N16*(1+Assumptions!$C$11)))/($N16*Assumptions!$C$11)^2/Assumptions!$C$14)/($M16*Assumptions!$C$24))^(1/Assumptions!$C$16)/7)</f>
        <v/>
      </c>
      <c r="Q16" s="22" t="str">
        <f aca="false">IF($L16="","",14*((2*Assumptions!$C$23*($N16*(1-$N16)+$N16*(1+Assumptions!$C$12)*(1-$N16*(1+Assumptions!$C$12)))/($N16*Assumptions!$C$12)^2/Assumptions!$C$14)/($M16*Assumptions!$C$24))^(1/Assumptions!$C$16)/7)</f>
        <v/>
      </c>
      <c r="R16" s="22" t="str">
        <f aca="false">IF($L16="","",14*((2*Assumptions!$C$23*($N16*(1-$N16)+$N16*(1+Assumptions!$C$13)*(1-$N16*(1+Assumptions!$C$13)))/($N16*Assumptions!$C$13)^2/Assumptions!$C$14)/($M16*Assumptions!$C$24))^(1/Assumptions!$C$16)/7)</f>
        <v/>
      </c>
      <c r="S16" s="23" t="str">
        <f aca="false">IF($L16="","",IF($P16&lt;=Assumptions!$C$9,"Tier 1",IF($P16&lt;=Assumptions!$C$10,"Tier 1 (3-wk)",IF($Q16&lt;=Assumptions!$C$10,"Tier 2",IF($R16&lt;=Assumptions!$C$10,"Tier 3",IF(AND($H16&lt;&gt;"",14*((2*Assumptions!$C$23*(MIN($H16*52/12/$M16,0.95)*(1-MIN($H16*52/12/$M16,0.95))+MIN($H16*52/12/$M16,0.95)*(1+Assumptions!$C$12)*(1-MIN($H16*52/12/$M16,0.95)*(1+Assumptions!$C$12)))/(MIN($H16*52/12/$M16,0.95)*Assumptions!$C$12)^2/Assumptions!$C$14)/($M16*Assumptions!$C$24))^(1/Assumptions!$C$16)/7&lt;=Assumptions!$C$10),"Not a fit — micro-conversion tests only","Not a fit"))))))</f>
        <v/>
      </c>
      <c r="T16" s="18" t="str">
        <f aca="false">IF($S16="","",IF(LEFT($S16,6)="Tier 1","Pursue — trial + fast programme: 5% lifts read in 2–3 weeks",IF($S16="Tier 2","Qualify — bold tests only (10%+ lifts); funnel-wide, 3-week reads",IF($S16="Tier 3","Deprioritise — only exceptional (20%) changes read in 3 weeks",IF($S16="Not a fit","Do not trial A/B — purchase tests cannot read in 3 weeks","Trial only if tests are scored on CTA clicks / leads, not purchases")))))</f>
        <v/>
      </c>
      <c r="U16" s="19" t="str">
        <f aca="false">IF($L16="","",$L16*Assumptions!$C$17*$K16*12/1000000)</f>
        <v/>
      </c>
    </row>
    <row r="17" customFormat="false" ht="15" hidden="false" customHeight="false" outlineLevel="0" collapsed="false">
      <c r="A17" s="14"/>
      <c r="B17" s="14"/>
      <c r="C17" s="15"/>
      <c r="D17" s="15"/>
      <c r="E17" s="16"/>
      <c r="F17" s="16"/>
      <c r="G17" s="17"/>
      <c r="H17" s="15"/>
      <c r="I17" s="14"/>
      <c r="J17" s="18" t="str">
        <f aca="false">IF($C17&lt;&gt;"","Actual orders",IF($E17&lt;&gt;"","Est. from revenue",IF($D17&lt;&gt;"","Est. from traffic × CVR","")))</f>
        <v/>
      </c>
      <c r="K17" s="19" t="n">
        <f aca="false">IF($F17&lt;&gt;"",$F17,IFERROR(INDEX(Assumptions!$D$28:$D$39,MATCH($B17,Assumptions!$B$28:$B$39,0)),Assumptions!$C$19))</f>
        <v>250</v>
      </c>
      <c r="L17" s="20" t="str">
        <f aca="false">IF($C17&lt;&gt;"",$C17/Assumptions!$C$17,IF($E17&lt;&gt;"",$E17*1000000/12/$K17/Assumptions!$C$17,IF($D17&lt;&gt;"",$D17*IF($G17&lt;&gt;"",$G17,IFERROR(INDEX(Assumptions!$C$28:$C$39,MATCH($B17,Assumptions!$B$28:$B$39,0)),Assumptions!$C$18)),"")))</f>
        <v/>
      </c>
      <c r="M17" s="20" t="str">
        <f aca="false">IF($L17="","",IF($D17&lt;&gt;"",$D17,$L17/IF($G17&lt;&gt;"",$G17,IFERROR(INDEX(Assumptions!$C$28:$C$39,MATCH($B17,Assumptions!$B$28:$B$39,0)),Assumptions!$C$18))))</f>
        <v/>
      </c>
      <c r="N17" s="21" t="str">
        <f aca="false">IF($L17="","",MIN($L17/$M17,0.95))</f>
        <v/>
      </c>
      <c r="O17" s="20" t="str">
        <f aca="false">IF($L17="","",$L17*Assumptions!$C$17*12/52)</f>
        <v/>
      </c>
      <c r="P17" s="22" t="str">
        <f aca="false">IF($L17="","",14*((2*Assumptions!$C$23*($N17*(1-$N17)+$N17*(1+Assumptions!$C$11)*(1-$N17*(1+Assumptions!$C$11)))/($N17*Assumptions!$C$11)^2/Assumptions!$C$14)/($M17*Assumptions!$C$24))^(1/Assumptions!$C$16)/7)</f>
        <v/>
      </c>
      <c r="Q17" s="22" t="str">
        <f aca="false">IF($L17="","",14*((2*Assumptions!$C$23*($N17*(1-$N17)+$N17*(1+Assumptions!$C$12)*(1-$N17*(1+Assumptions!$C$12)))/($N17*Assumptions!$C$12)^2/Assumptions!$C$14)/($M17*Assumptions!$C$24))^(1/Assumptions!$C$16)/7)</f>
        <v/>
      </c>
      <c r="R17" s="22" t="str">
        <f aca="false">IF($L17="","",14*((2*Assumptions!$C$23*($N17*(1-$N17)+$N17*(1+Assumptions!$C$13)*(1-$N17*(1+Assumptions!$C$13)))/($N17*Assumptions!$C$13)^2/Assumptions!$C$14)/($M17*Assumptions!$C$24))^(1/Assumptions!$C$16)/7)</f>
        <v/>
      </c>
      <c r="S17" s="23" t="str">
        <f aca="false">IF($L17="","",IF($P17&lt;=Assumptions!$C$9,"Tier 1",IF($P17&lt;=Assumptions!$C$10,"Tier 1 (3-wk)",IF($Q17&lt;=Assumptions!$C$10,"Tier 2",IF($R17&lt;=Assumptions!$C$10,"Tier 3",IF(AND($H17&lt;&gt;"",14*((2*Assumptions!$C$23*(MIN($H17*52/12/$M17,0.95)*(1-MIN($H17*52/12/$M17,0.95))+MIN($H17*52/12/$M17,0.95)*(1+Assumptions!$C$12)*(1-MIN($H17*52/12/$M17,0.95)*(1+Assumptions!$C$12)))/(MIN($H17*52/12/$M17,0.95)*Assumptions!$C$12)^2/Assumptions!$C$14)/($M17*Assumptions!$C$24))^(1/Assumptions!$C$16)/7&lt;=Assumptions!$C$10),"Not a fit — micro-conversion tests only","Not a fit"))))))</f>
        <v/>
      </c>
      <c r="T17" s="18" t="str">
        <f aca="false">IF($S17="","",IF(LEFT($S17,6)="Tier 1","Pursue — trial + fast programme: 5% lifts read in 2–3 weeks",IF($S17="Tier 2","Qualify — bold tests only (10%+ lifts); funnel-wide, 3-week reads",IF($S17="Tier 3","Deprioritise — only exceptional (20%) changes read in 3 weeks",IF($S17="Not a fit","Do not trial A/B — purchase tests cannot read in 3 weeks","Trial only if tests are scored on CTA clicks / leads, not purchases")))))</f>
        <v/>
      </c>
      <c r="U17" s="19" t="str">
        <f aca="false">IF($L17="","",$L17*Assumptions!$C$17*$K17*12/1000000)</f>
        <v/>
      </c>
    </row>
    <row r="18" customFormat="false" ht="15" hidden="false" customHeight="false" outlineLevel="0" collapsed="false">
      <c r="A18" s="14"/>
      <c r="B18" s="14"/>
      <c r="C18" s="15"/>
      <c r="D18" s="15"/>
      <c r="E18" s="16"/>
      <c r="F18" s="16"/>
      <c r="G18" s="17"/>
      <c r="H18" s="15"/>
      <c r="I18" s="14"/>
      <c r="J18" s="18" t="str">
        <f aca="false">IF($C18&lt;&gt;"","Actual orders",IF($E18&lt;&gt;"","Est. from revenue",IF($D18&lt;&gt;"","Est. from traffic × CVR","")))</f>
        <v/>
      </c>
      <c r="K18" s="19" t="n">
        <f aca="false">IF($F18&lt;&gt;"",$F18,IFERROR(INDEX(Assumptions!$D$28:$D$39,MATCH($B18,Assumptions!$B$28:$B$39,0)),Assumptions!$C$19))</f>
        <v>250</v>
      </c>
      <c r="L18" s="20" t="str">
        <f aca="false">IF($C18&lt;&gt;"",$C18/Assumptions!$C$17,IF($E18&lt;&gt;"",$E18*1000000/12/$K18/Assumptions!$C$17,IF($D18&lt;&gt;"",$D18*IF($G18&lt;&gt;"",$G18,IFERROR(INDEX(Assumptions!$C$28:$C$39,MATCH($B18,Assumptions!$B$28:$B$39,0)),Assumptions!$C$18)),"")))</f>
        <v/>
      </c>
      <c r="M18" s="20" t="str">
        <f aca="false">IF($L18="","",IF($D18&lt;&gt;"",$D18,$L18/IF($G18&lt;&gt;"",$G18,IFERROR(INDEX(Assumptions!$C$28:$C$39,MATCH($B18,Assumptions!$B$28:$B$39,0)),Assumptions!$C$18))))</f>
        <v/>
      </c>
      <c r="N18" s="21" t="str">
        <f aca="false">IF($L18="","",MIN($L18/$M18,0.95))</f>
        <v/>
      </c>
      <c r="O18" s="20" t="str">
        <f aca="false">IF($L18="","",$L18*Assumptions!$C$17*12/52)</f>
        <v/>
      </c>
      <c r="P18" s="22" t="str">
        <f aca="false">IF($L18="","",14*((2*Assumptions!$C$23*($N18*(1-$N18)+$N18*(1+Assumptions!$C$11)*(1-$N18*(1+Assumptions!$C$11)))/($N18*Assumptions!$C$11)^2/Assumptions!$C$14)/($M18*Assumptions!$C$24))^(1/Assumptions!$C$16)/7)</f>
        <v/>
      </c>
      <c r="Q18" s="22" t="str">
        <f aca="false">IF($L18="","",14*((2*Assumptions!$C$23*($N18*(1-$N18)+$N18*(1+Assumptions!$C$12)*(1-$N18*(1+Assumptions!$C$12)))/($N18*Assumptions!$C$12)^2/Assumptions!$C$14)/($M18*Assumptions!$C$24))^(1/Assumptions!$C$16)/7)</f>
        <v/>
      </c>
      <c r="R18" s="22" t="str">
        <f aca="false">IF($L18="","",14*((2*Assumptions!$C$23*($N18*(1-$N18)+$N18*(1+Assumptions!$C$13)*(1-$N18*(1+Assumptions!$C$13)))/($N18*Assumptions!$C$13)^2/Assumptions!$C$14)/($M18*Assumptions!$C$24))^(1/Assumptions!$C$16)/7)</f>
        <v/>
      </c>
      <c r="S18" s="23" t="str">
        <f aca="false">IF($L18="","",IF($P18&lt;=Assumptions!$C$9,"Tier 1",IF($P18&lt;=Assumptions!$C$10,"Tier 1 (3-wk)",IF($Q18&lt;=Assumptions!$C$10,"Tier 2",IF($R18&lt;=Assumptions!$C$10,"Tier 3",IF(AND($H18&lt;&gt;"",14*((2*Assumptions!$C$23*(MIN($H18*52/12/$M18,0.95)*(1-MIN($H18*52/12/$M18,0.95))+MIN($H18*52/12/$M18,0.95)*(1+Assumptions!$C$12)*(1-MIN($H18*52/12/$M18,0.95)*(1+Assumptions!$C$12)))/(MIN($H18*52/12/$M18,0.95)*Assumptions!$C$12)^2/Assumptions!$C$14)/($M18*Assumptions!$C$24))^(1/Assumptions!$C$16)/7&lt;=Assumptions!$C$10),"Not a fit — micro-conversion tests only","Not a fit"))))))</f>
        <v/>
      </c>
      <c r="T18" s="18" t="str">
        <f aca="false">IF($S18="","",IF(LEFT($S18,6)="Tier 1","Pursue — trial + fast programme: 5% lifts read in 2–3 weeks",IF($S18="Tier 2","Qualify — bold tests only (10%+ lifts); funnel-wide, 3-week reads",IF($S18="Tier 3","Deprioritise — only exceptional (20%) changes read in 3 weeks",IF($S18="Not a fit","Do not trial A/B — purchase tests cannot read in 3 weeks","Trial only if tests are scored on CTA clicks / leads, not purchases")))))</f>
        <v/>
      </c>
      <c r="U18" s="19" t="str">
        <f aca="false">IF($L18="","",$L18*Assumptions!$C$17*$K18*12/1000000)</f>
        <v/>
      </c>
    </row>
    <row r="19" customFormat="false" ht="15" hidden="false" customHeight="false" outlineLevel="0" collapsed="false">
      <c r="A19" s="14"/>
      <c r="B19" s="14"/>
      <c r="C19" s="15"/>
      <c r="D19" s="15"/>
      <c r="E19" s="16"/>
      <c r="F19" s="16"/>
      <c r="G19" s="17"/>
      <c r="H19" s="15"/>
      <c r="I19" s="14"/>
      <c r="J19" s="18" t="str">
        <f aca="false">IF($C19&lt;&gt;"","Actual orders",IF($E19&lt;&gt;"","Est. from revenue",IF($D19&lt;&gt;"","Est. from traffic × CVR","")))</f>
        <v/>
      </c>
      <c r="K19" s="19" t="n">
        <f aca="false">IF($F19&lt;&gt;"",$F19,IFERROR(INDEX(Assumptions!$D$28:$D$39,MATCH($B19,Assumptions!$B$28:$B$39,0)),Assumptions!$C$19))</f>
        <v>250</v>
      </c>
      <c r="L19" s="20" t="str">
        <f aca="false">IF($C19&lt;&gt;"",$C19/Assumptions!$C$17,IF($E19&lt;&gt;"",$E19*1000000/12/$K19/Assumptions!$C$17,IF($D19&lt;&gt;"",$D19*IF($G19&lt;&gt;"",$G19,IFERROR(INDEX(Assumptions!$C$28:$C$39,MATCH($B19,Assumptions!$B$28:$B$39,0)),Assumptions!$C$18)),"")))</f>
        <v/>
      </c>
      <c r="M19" s="20" t="str">
        <f aca="false">IF($L19="","",IF($D19&lt;&gt;"",$D19,$L19/IF($G19&lt;&gt;"",$G19,IFERROR(INDEX(Assumptions!$C$28:$C$39,MATCH($B19,Assumptions!$B$28:$B$39,0)),Assumptions!$C$18))))</f>
        <v/>
      </c>
      <c r="N19" s="21" t="str">
        <f aca="false">IF($L19="","",MIN($L19/$M19,0.95))</f>
        <v/>
      </c>
      <c r="O19" s="20" t="str">
        <f aca="false">IF($L19="","",$L19*Assumptions!$C$17*12/52)</f>
        <v/>
      </c>
      <c r="P19" s="22" t="str">
        <f aca="false">IF($L19="","",14*((2*Assumptions!$C$23*($N19*(1-$N19)+$N19*(1+Assumptions!$C$11)*(1-$N19*(1+Assumptions!$C$11)))/($N19*Assumptions!$C$11)^2/Assumptions!$C$14)/($M19*Assumptions!$C$24))^(1/Assumptions!$C$16)/7)</f>
        <v/>
      </c>
      <c r="Q19" s="22" t="str">
        <f aca="false">IF($L19="","",14*((2*Assumptions!$C$23*($N19*(1-$N19)+$N19*(1+Assumptions!$C$12)*(1-$N19*(1+Assumptions!$C$12)))/($N19*Assumptions!$C$12)^2/Assumptions!$C$14)/($M19*Assumptions!$C$24))^(1/Assumptions!$C$16)/7)</f>
        <v/>
      </c>
      <c r="R19" s="22" t="str">
        <f aca="false">IF($L19="","",14*((2*Assumptions!$C$23*($N19*(1-$N19)+$N19*(1+Assumptions!$C$13)*(1-$N19*(1+Assumptions!$C$13)))/($N19*Assumptions!$C$13)^2/Assumptions!$C$14)/($M19*Assumptions!$C$24))^(1/Assumptions!$C$16)/7)</f>
        <v/>
      </c>
      <c r="S19" s="23" t="str">
        <f aca="false">IF($L19="","",IF($P19&lt;=Assumptions!$C$9,"Tier 1",IF($P19&lt;=Assumptions!$C$10,"Tier 1 (3-wk)",IF($Q19&lt;=Assumptions!$C$10,"Tier 2",IF($R19&lt;=Assumptions!$C$10,"Tier 3",IF(AND($H19&lt;&gt;"",14*((2*Assumptions!$C$23*(MIN($H19*52/12/$M19,0.95)*(1-MIN($H19*52/12/$M19,0.95))+MIN($H19*52/12/$M19,0.95)*(1+Assumptions!$C$12)*(1-MIN($H19*52/12/$M19,0.95)*(1+Assumptions!$C$12)))/(MIN($H19*52/12/$M19,0.95)*Assumptions!$C$12)^2/Assumptions!$C$14)/($M19*Assumptions!$C$24))^(1/Assumptions!$C$16)/7&lt;=Assumptions!$C$10),"Not a fit — micro-conversion tests only","Not a fit"))))))</f>
        <v/>
      </c>
      <c r="T19" s="18" t="str">
        <f aca="false">IF($S19="","",IF(LEFT($S19,6)="Tier 1","Pursue — trial + fast programme: 5% lifts read in 2–3 weeks",IF($S19="Tier 2","Qualify — bold tests only (10%+ lifts); funnel-wide, 3-week reads",IF($S19="Tier 3","Deprioritise — only exceptional (20%) changes read in 3 weeks",IF($S19="Not a fit","Do not trial A/B — purchase tests cannot read in 3 weeks","Trial only if tests are scored on CTA clicks / leads, not purchases")))))</f>
        <v/>
      </c>
      <c r="U19" s="19" t="str">
        <f aca="false">IF($L19="","",$L19*Assumptions!$C$17*$K19*12/1000000)</f>
        <v/>
      </c>
    </row>
    <row r="20" customFormat="false" ht="15" hidden="false" customHeight="false" outlineLevel="0" collapsed="false">
      <c r="A20" s="14"/>
      <c r="B20" s="14"/>
      <c r="C20" s="15"/>
      <c r="D20" s="15"/>
      <c r="E20" s="16"/>
      <c r="F20" s="16"/>
      <c r="G20" s="17"/>
      <c r="H20" s="15"/>
      <c r="I20" s="14"/>
      <c r="J20" s="18" t="str">
        <f aca="false">IF($C20&lt;&gt;"","Actual orders",IF($E20&lt;&gt;"","Est. from revenue",IF($D20&lt;&gt;"","Est. from traffic × CVR","")))</f>
        <v/>
      </c>
      <c r="K20" s="19" t="n">
        <f aca="false">IF($F20&lt;&gt;"",$F20,IFERROR(INDEX(Assumptions!$D$28:$D$39,MATCH($B20,Assumptions!$B$28:$B$39,0)),Assumptions!$C$19))</f>
        <v>250</v>
      </c>
      <c r="L20" s="20" t="str">
        <f aca="false">IF($C20&lt;&gt;"",$C20/Assumptions!$C$17,IF($E20&lt;&gt;"",$E20*1000000/12/$K20/Assumptions!$C$17,IF($D20&lt;&gt;"",$D20*IF($G20&lt;&gt;"",$G20,IFERROR(INDEX(Assumptions!$C$28:$C$39,MATCH($B20,Assumptions!$B$28:$B$39,0)),Assumptions!$C$18)),"")))</f>
        <v/>
      </c>
      <c r="M20" s="20" t="str">
        <f aca="false">IF($L20="","",IF($D20&lt;&gt;"",$D20,$L20/IF($G20&lt;&gt;"",$G20,IFERROR(INDEX(Assumptions!$C$28:$C$39,MATCH($B20,Assumptions!$B$28:$B$39,0)),Assumptions!$C$18))))</f>
        <v/>
      </c>
      <c r="N20" s="21" t="str">
        <f aca="false">IF($L20="","",MIN($L20/$M20,0.95))</f>
        <v/>
      </c>
      <c r="O20" s="20" t="str">
        <f aca="false">IF($L20="","",$L20*Assumptions!$C$17*12/52)</f>
        <v/>
      </c>
      <c r="P20" s="22" t="str">
        <f aca="false">IF($L20="","",14*((2*Assumptions!$C$23*($N20*(1-$N20)+$N20*(1+Assumptions!$C$11)*(1-$N20*(1+Assumptions!$C$11)))/($N20*Assumptions!$C$11)^2/Assumptions!$C$14)/($M20*Assumptions!$C$24))^(1/Assumptions!$C$16)/7)</f>
        <v/>
      </c>
      <c r="Q20" s="22" t="str">
        <f aca="false">IF($L20="","",14*((2*Assumptions!$C$23*($N20*(1-$N20)+$N20*(1+Assumptions!$C$12)*(1-$N20*(1+Assumptions!$C$12)))/($N20*Assumptions!$C$12)^2/Assumptions!$C$14)/($M20*Assumptions!$C$24))^(1/Assumptions!$C$16)/7)</f>
        <v/>
      </c>
      <c r="R20" s="22" t="str">
        <f aca="false">IF($L20="","",14*((2*Assumptions!$C$23*($N20*(1-$N20)+$N20*(1+Assumptions!$C$13)*(1-$N20*(1+Assumptions!$C$13)))/($N20*Assumptions!$C$13)^2/Assumptions!$C$14)/($M20*Assumptions!$C$24))^(1/Assumptions!$C$16)/7)</f>
        <v/>
      </c>
      <c r="S20" s="23" t="str">
        <f aca="false">IF($L20="","",IF($P20&lt;=Assumptions!$C$9,"Tier 1",IF($P20&lt;=Assumptions!$C$10,"Tier 1 (3-wk)",IF($Q20&lt;=Assumptions!$C$10,"Tier 2",IF($R20&lt;=Assumptions!$C$10,"Tier 3",IF(AND($H20&lt;&gt;"",14*((2*Assumptions!$C$23*(MIN($H20*52/12/$M20,0.95)*(1-MIN($H20*52/12/$M20,0.95))+MIN($H20*52/12/$M20,0.95)*(1+Assumptions!$C$12)*(1-MIN($H20*52/12/$M20,0.95)*(1+Assumptions!$C$12)))/(MIN($H20*52/12/$M20,0.95)*Assumptions!$C$12)^2/Assumptions!$C$14)/($M20*Assumptions!$C$24))^(1/Assumptions!$C$16)/7&lt;=Assumptions!$C$10),"Not a fit — micro-conversion tests only","Not a fit"))))))</f>
        <v/>
      </c>
      <c r="T20" s="18" t="str">
        <f aca="false">IF($S20="","",IF(LEFT($S20,6)="Tier 1","Pursue — trial + fast programme: 5% lifts read in 2–3 weeks",IF($S20="Tier 2","Qualify — bold tests only (10%+ lifts); funnel-wide, 3-week reads",IF($S20="Tier 3","Deprioritise — only exceptional (20%) changes read in 3 weeks",IF($S20="Not a fit","Do not trial A/B — purchase tests cannot read in 3 weeks","Trial only if tests are scored on CTA clicks / leads, not purchases")))))</f>
        <v/>
      </c>
      <c r="U20" s="19" t="str">
        <f aca="false">IF($L20="","",$L20*Assumptions!$C$17*$K20*12/1000000)</f>
        <v/>
      </c>
    </row>
    <row r="21" customFormat="false" ht="15" hidden="false" customHeight="false" outlineLevel="0" collapsed="false">
      <c r="A21" s="14"/>
      <c r="B21" s="14"/>
      <c r="C21" s="15"/>
      <c r="D21" s="15"/>
      <c r="E21" s="16"/>
      <c r="F21" s="16"/>
      <c r="G21" s="17"/>
      <c r="H21" s="15"/>
      <c r="I21" s="14"/>
      <c r="J21" s="18" t="str">
        <f aca="false">IF($C21&lt;&gt;"","Actual orders",IF($E21&lt;&gt;"","Est. from revenue",IF($D21&lt;&gt;"","Est. from traffic × CVR","")))</f>
        <v/>
      </c>
      <c r="K21" s="19" t="n">
        <f aca="false">IF($F21&lt;&gt;"",$F21,IFERROR(INDEX(Assumptions!$D$28:$D$39,MATCH($B21,Assumptions!$B$28:$B$39,0)),Assumptions!$C$19))</f>
        <v>250</v>
      </c>
      <c r="L21" s="20" t="str">
        <f aca="false">IF($C21&lt;&gt;"",$C21/Assumptions!$C$17,IF($E21&lt;&gt;"",$E21*1000000/12/$K21/Assumptions!$C$17,IF($D21&lt;&gt;"",$D21*IF($G21&lt;&gt;"",$G21,IFERROR(INDEX(Assumptions!$C$28:$C$39,MATCH($B21,Assumptions!$B$28:$B$39,0)),Assumptions!$C$18)),"")))</f>
        <v/>
      </c>
      <c r="M21" s="20" t="str">
        <f aca="false">IF($L21="","",IF($D21&lt;&gt;"",$D21,$L21/IF($G21&lt;&gt;"",$G21,IFERROR(INDEX(Assumptions!$C$28:$C$39,MATCH($B21,Assumptions!$B$28:$B$39,0)),Assumptions!$C$18))))</f>
        <v/>
      </c>
      <c r="N21" s="21" t="str">
        <f aca="false">IF($L21="","",MIN($L21/$M21,0.95))</f>
        <v/>
      </c>
      <c r="O21" s="20" t="str">
        <f aca="false">IF($L21="","",$L21*Assumptions!$C$17*12/52)</f>
        <v/>
      </c>
      <c r="P21" s="22" t="str">
        <f aca="false">IF($L21="","",14*((2*Assumptions!$C$23*($N21*(1-$N21)+$N21*(1+Assumptions!$C$11)*(1-$N21*(1+Assumptions!$C$11)))/($N21*Assumptions!$C$11)^2/Assumptions!$C$14)/($M21*Assumptions!$C$24))^(1/Assumptions!$C$16)/7)</f>
        <v/>
      </c>
      <c r="Q21" s="22" t="str">
        <f aca="false">IF($L21="","",14*((2*Assumptions!$C$23*($N21*(1-$N21)+$N21*(1+Assumptions!$C$12)*(1-$N21*(1+Assumptions!$C$12)))/($N21*Assumptions!$C$12)^2/Assumptions!$C$14)/($M21*Assumptions!$C$24))^(1/Assumptions!$C$16)/7)</f>
        <v/>
      </c>
      <c r="R21" s="22" t="str">
        <f aca="false">IF($L21="","",14*((2*Assumptions!$C$23*($N21*(1-$N21)+$N21*(1+Assumptions!$C$13)*(1-$N21*(1+Assumptions!$C$13)))/($N21*Assumptions!$C$13)^2/Assumptions!$C$14)/($M21*Assumptions!$C$24))^(1/Assumptions!$C$16)/7)</f>
        <v/>
      </c>
      <c r="S21" s="23" t="str">
        <f aca="false">IF($L21="","",IF($P21&lt;=Assumptions!$C$9,"Tier 1",IF($P21&lt;=Assumptions!$C$10,"Tier 1 (3-wk)",IF($Q21&lt;=Assumptions!$C$10,"Tier 2",IF($R21&lt;=Assumptions!$C$10,"Tier 3",IF(AND($H21&lt;&gt;"",14*((2*Assumptions!$C$23*(MIN($H21*52/12/$M21,0.95)*(1-MIN($H21*52/12/$M21,0.95))+MIN($H21*52/12/$M21,0.95)*(1+Assumptions!$C$12)*(1-MIN($H21*52/12/$M21,0.95)*(1+Assumptions!$C$12)))/(MIN($H21*52/12/$M21,0.95)*Assumptions!$C$12)^2/Assumptions!$C$14)/($M21*Assumptions!$C$24))^(1/Assumptions!$C$16)/7&lt;=Assumptions!$C$10),"Not a fit — micro-conversion tests only","Not a fit"))))))</f>
        <v/>
      </c>
      <c r="T21" s="18" t="str">
        <f aca="false">IF($S21="","",IF(LEFT($S21,6)="Tier 1","Pursue — trial + fast programme: 5% lifts read in 2–3 weeks",IF($S21="Tier 2","Qualify — bold tests only (10%+ lifts); funnel-wide, 3-week reads",IF($S21="Tier 3","Deprioritise — only exceptional (20%) changes read in 3 weeks",IF($S21="Not a fit","Do not trial A/B — purchase tests cannot read in 3 weeks","Trial only if tests are scored on CTA clicks / leads, not purchases")))))</f>
        <v/>
      </c>
      <c r="U21" s="19" t="str">
        <f aca="false">IF($L21="","",$L21*Assumptions!$C$17*$K21*12/1000000)</f>
        <v/>
      </c>
    </row>
    <row r="22" customFormat="false" ht="15" hidden="false" customHeight="false" outlineLevel="0" collapsed="false">
      <c r="A22" s="14"/>
      <c r="B22" s="14"/>
      <c r="C22" s="15"/>
      <c r="D22" s="15"/>
      <c r="E22" s="16"/>
      <c r="F22" s="16"/>
      <c r="G22" s="17"/>
      <c r="H22" s="15"/>
      <c r="I22" s="14"/>
      <c r="J22" s="18" t="str">
        <f aca="false">IF($C22&lt;&gt;"","Actual orders",IF($E22&lt;&gt;"","Est. from revenue",IF($D22&lt;&gt;"","Est. from traffic × CVR","")))</f>
        <v/>
      </c>
      <c r="K22" s="19" t="n">
        <f aca="false">IF($F22&lt;&gt;"",$F22,IFERROR(INDEX(Assumptions!$D$28:$D$39,MATCH($B22,Assumptions!$B$28:$B$39,0)),Assumptions!$C$19))</f>
        <v>250</v>
      </c>
      <c r="L22" s="20" t="str">
        <f aca="false">IF($C22&lt;&gt;"",$C22/Assumptions!$C$17,IF($E22&lt;&gt;"",$E22*1000000/12/$K22/Assumptions!$C$17,IF($D22&lt;&gt;"",$D22*IF($G22&lt;&gt;"",$G22,IFERROR(INDEX(Assumptions!$C$28:$C$39,MATCH($B22,Assumptions!$B$28:$B$39,0)),Assumptions!$C$18)),"")))</f>
        <v/>
      </c>
      <c r="M22" s="20" t="str">
        <f aca="false">IF($L22="","",IF($D22&lt;&gt;"",$D22,$L22/IF($G22&lt;&gt;"",$G22,IFERROR(INDEX(Assumptions!$C$28:$C$39,MATCH($B22,Assumptions!$B$28:$B$39,0)),Assumptions!$C$18))))</f>
        <v/>
      </c>
      <c r="N22" s="21" t="str">
        <f aca="false">IF($L22="","",MIN($L22/$M22,0.95))</f>
        <v/>
      </c>
      <c r="O22" s="20" t="str">
        <f aca="false">IF($L22="","",$L22*Assumptions!$C$17*12/52)</f>
        <v/>
      </c>
      <c r="P22" s="22" t="str">
        <f aca="false">IF($L22="","",14*((2*Assumptions!$C$23*($N22*(1-$N22)+$N22*(1+Assumptions!$C$11)*(1-$N22*(1+Assumptions!$C$11)))/($N22*Assumptions!$C$11)^2/Assumptions!$C$14)/($M22*Assumptions!$C$24))^(1/Assumptions!$C$16)/7)</f>
        <v/>
      </c>
      <c r="Q22" s="22" t="str">
        <f aca="false">IF($L22="","",14*((2*Assumptions!$C$23*($N22*(1-$N22)+$N22*(1+Assumptions!$C$12)*(1-$N22*(1+Assumptions!$C$12)))/($N22*Assumptions!$C$12)^2/Assumptions!$C$14)/($M22*Assumptions!$C$24))^(1/Assumptions!$C$16)/7)</f>
        <v/>
      </c>
      <c r="R22" s="22" t="str">
        <f aca="false">IF($L22="","",14*((2*Assumptions!$C$23*($N22*(1-$N22)+$N22*(1+Assumptions!$C$13)*(1-$N22*(1+Assumptions!$C$13)))/($N22*Assumptions!$C$13)^2/Assumptions!$C$14)/($M22*Assumptions!$C$24))^(1/Assumptions!$C$16)/7)</f>
        <v/>
      </c>
      <c r="S22" s="23" t="str">
        <f aca="false">IF($L22="","",IF($P22&lt;=Assumptions!$C$9,"Tier 1",IF($P22&lt;=Assumptions!$C$10,"Tier 1 (3-wk)",IF($Q22&lt;=Assumptions!$C$10,"Tier 2",IF($R22&lt;=Assumptions!$C$10,"Tier 3",IF(AND($H22&lt;&gt;"",14*((2*Assumptions!$C$23*(MIN($H22*52/12/$M22,0.95)*(1-MIN($H22*52/12/$M22,0.95))+MIN($H22*52/12/$M22,0.95)*(1+Assumptions!$C$12)*(1-MIN($H22*52/12/$M22,0.95)*(1+Assumptions!$C$12)))/(MIN($H22*52/12/$M22,0.95)*Assumptions!$C$12)^2/Assumptions!$C$14)/($M22*Assumptions!$C$24))^(1/Assumptions!$C$16)/7&lt;=Assumptions!$C$10),"Not a fit — micro-conversion tests only","Not a fit"))))))</f>
        <v/>
      </c>
      <c r="T22" s="18" t="str">
        <f aca="false">IF($S22="","",IF(LEFT($S22,6)="Tier 1","Pursue — trial + fast programme: 5% lifts read in 2–3 weeks",IF($S22="Tier 2","Qualify — bold tests only (10%+ lifts); funnel-wide, 3-week reads",IF($S22="Tier 3","Deprioritise — only exceptional (20%) changes read in 3 weeks",IF($S22="Not a fit","Do not trial A/B — purchase tests cannot read in 3 weeks","Trial only if tests are scored on CTA clicks / leads, not purchases")))))</f>
        <v/>
      </c>
      <c r="U22" s="19" t="str">
        <f aca="false">IF($L22="","",$L22*Assumptions!$C$17*$K22*12/1000000)</f>
        <v/>
      </c>
    </row>
    <row r="23" customFormat="false" ht="15" hidden="false" customHeight="false" outlineLevel="0" collapsed="false">
      <c r="A23" s="14"/>
      <c r="B23" s="14"/>
      <c r="C23" s="15"/>
      <c r="D23" s="15"/>
      <c r="E23" s="16"/>
      <c r="F23" s="16"/>
      <c r="G23" s="17"/>
      <c r="H23" s="15"/>
      <c r="I23" s="14"/>
      <c r="J23" s="18" t="str">
        <f aca="false">IF($C23&lt;&gt;"","Actual orders",IF($E23&lt;&gt;"","Est. from revenue",IF($D23&lt;&gt;"","Est. from traffic × CVR","")))</f>
        <v/>
      </c>
      <c r="K23" s="19" t="n">
        <f aca="false">IF($F23&lt;&gt;"",$F23,IFERROR(INDEX(Assumptions!$D$28:$D$39,MATCH($B23,Assumptions!$B$28:$B$39,0)),Assumptions!$C$19))</f>
        <v>250</v>
      </c>
      <c r="L23" s="20" t="str">
        <f aca="false">IF($C23&lt;&gt;"",$C23/Assumptions!$C$17,IF($E23&lt;&gt;"",$E23*1000000/12/$K23/Assumptions!$C$17,IF($D23&lt;&gt;"",$D23*IF($G23&lt;&gt;"",$G23,IFERROR(INDEX(Assumptions!$C$28:$C$39,MATCH($B23,Assumptions!$B$28:$B$39,0)),Assumptions!$C$18)),"")))</f>
        <v/>
      </c>
      <c r="M23" s="20" t="str">
        <f aca="false">IF($L23="","",IF($D23&lt;&gt;"",$D23,$L23/IF($G23&lt;&gt;"",$G23,IFERROR(INDEX(Assumptions!$C$28:$C$39,MATCH($B23,Assumptions!$B$28:$B$39,0)),Assumptions!$C$18))))</f>
        <v/>
      </c>
      <c r="N23" s="21" t="str">
        <f aca="false">IF($L23="","",MIN($L23/$M23,0.95))</f>
        <v/>
      </c>
      <c r="O23" s="20" t="str">
        <f aca="false">IF($L23="","",$L23*Assumptions!$C$17*12/52)</f>
        <v/>
      </c>
      <c r="P23" s="22" t="str">
        <f aca="false">IF($L23="","",14*((2*Assumptions!$C$23*($N23*(1-$N23)+$N23*(1+Assumptions!$C$11)*(1-$N23*(1+Assumptions!$C$11)))/($N23*Assumptions!$C$11)^2/Assumptions!$C$14)/($M23*Assumptions!$C$24))^(1/Assumptions!$C$16)/7)</f>
        <v/>
      </c>
      <c r="Q23" s="22" t="str">
        <f aca="false">IF($L23="","",14*((2*Assumptions!$C$23*($N23*(1-$N23)+$N23*(1+Assumptions!$C$12)*(1-$N23*(1+Assumptions!$C$12)))/($N23*Assumptions!$C$12)^2/Assumptions!$C$14)/($M23*Assumptions!$C$24))^(1/Assumptions!$C$16)/7)</f>
        <v/>
      </c>
      <c r="R23" s="22" t="str">
        <f aca="false">IF($L23="","",14*((2*Assumptions!$C$23*($N23*(1-$N23)+$N23*(1+Assumptions!$C$13)*(1-$N23*(1+Assumptions!$C$13)))/($N23*Assumptions!$C$13)^2/Assumptions!$C$14)/($M23*Assumptions!$C$24))^(1/Assumptions!$C$16)/7)</f>
        <v/>
      </c>
      <c r="S23" s="23" t="str">
        <f aca="false">IF($L23="","",IF($P23&lt;=Assumptions!$C$9,"Tier 1",IF($P23&lt;=Assumptions!$C$10,"Tier 1 (3-wk)",IF($Q23&lt;=Assumptions!$C$10,"Tier 2",IF($R23&lt;=Assumptions!$C$10,"Tier 3",IF(AND($H23&lt;&gt;"",14*((2*Assumptions!$C$23*(MIN($H23*52/12/$M23,0.95)*(1-MIN($H23*52/12/$M23,0.95))+MIN($H23*52/12/$M23,0.95)*(1+Assumptions!$C$12)*(1-MIN($H23*52/12/$M23,0.95)*(1+Assumptions!$C$12)))/(MIN($H23*52/12/$M23,0.95)*Assumptions!$C$12)^2/Assumptions!$C$14)/($M23*Assumptions!$C$24))^(1/Assumptions!$C$16)/7&lt;=Assumptions!$C$10),"Not a fit — micro-conversion tests only","Not a fit"))))))</f>
        <v/>
      </c>
      <c r="T23" s="18" t="str">
        <f aca="false">IF($S23="","",IF(LEFT($S23,6)="Tier 1","Pursue — trial + fast programme: 5% lifts read in 2–3 weeks",IF($S23="Tier 2","Qualify — bold tests only (10%+ lifts); funnel-wide, 3-week reads",IF($S23="Tier 3","Deprioritise — only exceptional (20%) changes read in 3 weeks",IF($S23="Not a fit","Do not trial A/B — purchase tests cannot read in 3 weeks","Trial only if tests are scored on CTA clicks / leads, not purchases")))))</f>
        <v/>
      </c>
      <c r="U23" s="19" t="str">
        <f aca="false">IF($L23="","",$L23*Assumptions!$C$17*$K23*12/1000000)</f>
        <v/>
      </c>
    </row>
    <row r="24" customFormat="false" ht="15" hidden="false" customHeight="false" outlineLevel="0" collapsed="false">
      <c r="A24" s="14"/>
      <c r="B24" s="14"/>
      <c r="C24" s="15"/>
      <c r="D24" s="15"/>
      <c r="E24" s="16"/>
      <c r="F24" s="16"/>
      <c r="G24" s="17"/>
      <c r="H24" s="15"/>
      <c r="I24" s="14"/>
      <c r="J24" s="18" t="str">
        <f aca="false">IF($C24&lt;&gt;"","Actual orders",IF($E24&lt;&gt;"","Est. from revenue",IF($D24&lt;&gt;"","Est. from traffic × CVR","")))</f>
        <v/>
      </c>
      <c r="K24" s="19" t="n">
        <f aca="false">IF($F24&lt;&gt;"",$F24,IFERROR(INDEX(Assumptions!$D$28:$D$39,MATCH($B24,Assumptions!$B$28:$B$39,0)),Assumptions!$C$19))</f>
        <v>250</v>
      </c>
      <c r="L24" s="20" t="str">
        <f aca="false">IF($C24&lt;&gt;"",$C24/Assumptions!$C$17,IF($E24&lt;&gt;"",$E24*1000000/12/$K24/Assumptions!$C$17,IF($D24&lt;&gt;"",$D24*IF($G24&lt;&gt;"",$G24,IFERROR(INDEX(Assumptions!$C$28:$C$39,MATCH($B24,Assumptions!$B$28:$B$39,0)),Assumptions!$C$18)),"")))</f>
        <v/>
      </c>
      <c r="M24" s="20" t="str">
        <f aca="false">IF($L24="","",IF($D24&lt;&gt;"",$D24,$L24/IF($G24&lt;&gt;"",$G24,IFERROR(INDEX(Assumptions!$C$28:$C$39,MATCH($B24,Assumptions!$B$28:$B$39,0)),Assumptions!$C$18))))</f>
        <v/>
      </c>
      <c r="N24" s="21" t="str">
        <f aca="false">IF($L24="","",MIN($L24/$M24,0.95))</f>
        <v/>
      </c>
      <c r="O24" s="20" t="str">
        <f aca="false">IF($L24="","",$L24*Assumptions!$C$17*12/52)</f>
        <v/>
      </c>
      <c r="P24" s="22" t="str">
        <f aca="false">IF($L24="","",14*((2*Assumptions!$C$23*($N24*(1-$N24)+$N24*(1+Assumptions!$C$11)*(1-$N24*(1+Assumptions!$C$11)))/($N24*Assumptions!$C$11)^2/Assumptions!$C$14)/($M24*Assumptions!$C$24))^(1/Assumptions!$C$16)/7)</f>
        <v/>
      </c>
      <c r="Q24" s="22" t="str">
        <f aca="false">IF($L24="","",14*((2*Assumptions!$C$23*($N24*(1-$N24)+$N24*(1+Assumptions!$C$12)*(1-$N24*(1+Assumptions!$C$12)))/($N24*Assumptions!$C$12)^2/Assumptions!$C$14)/($M24*Assumptions!$C$24))^(1/Assumptions!$C$16)/7)</f>
        <v/>
      </c>
      <c r="R24" s="22" t="str">
        <f aca="false">IF($L24="","",14*((2*Assumptions!$C$23*($N24*(1-$N24)+$N24*(1+Assumptions!$C$13)*(1-$N24*(1+Assumptions!$C$13)))/($N24*Assumptions!$C$13)^2/Assumptions!$C$14)/($M24*Assumptions!$C$24))^(1/Assumptions!$C$16)/7)</f>
        <v/>
      </c>
      <c r="S24" s="23" t="str">
        <f aca="false">IF($L24="","",IF($P24&lt;=Assumptions!$C$9,"Tier 1",IF($P24&lt;=Assumptions!$C$10,"Tier 1 (3-wk)",IF($Q24&lt;=Assumptions!$C$10,"Tier 2",IF($R24&lt;=Assumptions!$C$10,"Tier 3",IF(AND($H24&lt;&gt;"",14*((2*Assumptions!$C$23*(MIN($H24*52/12/$M24,0.95)*(1-MIN($H24*52/12/$M24,0.95))+MIN($H24*52/12/$M24,0.95)*(1+Assumptions!$C$12)*(1-MIN($H24*52/12/$M24,0.95)*(1+Assumptions!$C$12)))/(MIN($H24*52/12/$M24,0.95)*Assumptions!$C$12)^2/Assumptions!$C$14)/($M24*Assumptions!$C$24))^(1/Assumptions!$C$16)/7&lt;=Assumptions!$C$10),"Not a fit — micro-conversion tests only","Not a fit"))))))</f>
        <v/>
      </c>
      <c r="T24" s="18" t="str">
        <f aca="false">IF($S24="","",IF(LEFT($S24,6)="Tier 1","Pursue — trial + fast programme: 5% lifts read in 2–3 weeks",IF($S24="Tier 2","Qualify — bold tests only (10%+ lifts); funnel-wide, 3-week reads",IF($S24="Tier 3","Deprioritise — only exceptional (20%) changes read in 3 weeks",IF($S24="Not a fit","Do not trial A/B — purchase tests cannot read in 3 weeks","Trial only if tests are scored on CTA clicks / leads, not purchases")))))</f>
        <v/>
      </c>
      <c r="U24" s="19" t="str">
        <f aca="false">IF($L24="","",$L24*Assumptions!$C$17*$K24*12/1000000)</f>
        <v/>
      </c>
    </row>
    <row r="25" customFormat="false" ht="15" hidden="false" customHeight="false" outlineLevel="0" collapsed="false">
      <c r="A25" s="14"/>
      <c r="B25" s="14"/>
      <c r="C25" s="15"/>
      <c r="D25" s="15"/>
      <c r="E25" s="16"/>
      <c r="F25" s="16"/>
      <c r="G25" s="17"/>
      <c r="H25" s="15"/>
      <c r="I25" s="14"/>
      <c r="J25" s="18" t="str">
        <f aca="false">IF($C25&lt;&gt;"","Actual orders",IF($E25&lt;&gt;"","Est. from revenue",IF($D25&lt;&gt;"","Est. from traffic × CVR","")))</f>
        <v/>
      </c>
      <c r="K25" s="19" t="n">
        <f aca="false">IF($F25&lt;&gt;"",$F25,IFERROR(INDEX(Assumptions!$D$28:$D$39,MATCH($B25,Assumptions!$B$28:$B$39,0)),Assumptions!$C$19))</f>
        <v>250</v>
      </c>
      <c r="L25" s="20" t="str">
        <f aca="false">IF($C25&lt;&gt;"",$C25/Assumptions!$C$17,IF($E25&lt;&gt;"",$E25*1000000/12/$K25/Assumptions!$C$17,IF($D25&lt;&gt;"",$D25*IF($G25&lt;&gt;"",$G25,IFERROR(INDEX(Assumptions!$C$28:$C$39,MATCH($B25,Assumptions!$B$28:$B$39,0)),Assumptions!$C$18)),"")))</f>
        <v/>
      </c>
      <c r="M25" s="20" t="str">
        <f aca="false">IF($L25="","",IF($D25&lt;&gt;"",$D25,$L25/IF($G25&lt;&gt;"",$G25,IFERROR(INDEX(Assumptions!$C$28:$C$39,MATCH($B25,Assumptions!$B$28:$B$39,0)),Assumptions!$C$18))))</f>
        <v/>
      </c>
      <c r="N25" s="21" t="str">
        <f aca="false">IF($L25="","",MIN($L25/$M25,0.95))</f>
        <v/>
      </c>
      <c r="O25" s="20" t="str">
        <f aca="false">IF($L25="","",$L25*Assumptions!$C$17*12/52)</f>
        <v/>
      </c>
      <c r="P25" s="22" t="str">
        <f aca="false">IF($L25="","",14*((2*Assumptions!$C$23*($N25*(1-$N25)+$N25*(1+Assumptions!$C$11)*(1-$N25*(1+Assumptions!$C$11)))/($N25*Assumptions!$C$11)^2/Assumptions!$C$14)/($M25*Assumptions!$C$24))^(1/Assumptions!$C$16)/7)</f>
        <v/>
      </c>
      <c r="Q25" s="22" t="str">
        <f aca="false">IF($L25="","",14*((2*Assumptions!$C$23*($N25*(1-$N25)+$N25*(1+Assumptions!$C$12)*(1-$N25*(1+Assumptions!$C$12)))/($N25*Assumptions!$C$12)^2/Assumptions!$C$14)/($M25*Assumptions!$C$24))^(1/Assumptions!$C$16)/7)</f>
        <v/>
      </c>
      <c r="R25" s="22" t="str">
        <f aca="false">IF($L25="","",14*((2*Assumptions!$C$23*($N25*(1-$N25)+$N25*(1+Assumptions!$C$13)*(1-$N25*(1+Assumptions!$C$13)))/($N25*Assumptions!$C$13)^2/Assumptions!$C$14)/($M25*Assumptions!$C$24))^(1/Assumptions!$C$16)/7)</f>
        <v/>
      </c>
      <c r="S25" s="23" t="str">
        <f aca="false">IF($L25="","",IF($P25&lt;=Assumptions!$C$9,"Tier 1",IF($P25&lt;=Assumptions!$C$10,"Tier 1 (3-wk)",IF($Q25&lt;=Assumptions!$C$10,"Tier 2",IF($R25&lt;=Assumptions!$C$10,"Tier 3",IF(AND($H25&lt;&gt;"",14*((2*Assumptions!$C$23*(MIN($H25*52/12/$M25,0.95)*(1-MIN($H25*52/12/$M25,0.95))+MIN($H25*52/12/$M25,0.95)*(1+Assumptions!$C$12)*(1-MIN($H25*52/12/$M25,0.95)*(1+Assumptions!$C$12)))/(MIN($H25*52/12/$M25,0.95)*Assumptions!$C$12)^2/Assumptions!$C$14)/($M25*Assumptions!$C$24))^(1/Assumptions!$C$16)/7&lt;=Assumptions!$C$10),"Not a fit — micro-conversion tests only","Not a fit"))))))</f>
        <v/>
      </c>
      <c r="T25" s="18" t="str">
        <f aca="false">IF($S25="","",IF(LEFT($S25,6)="Tier 1","Pursue — trial + fast programme: 5% lifts read in 2–3 weeks",IF($S25="Tier 2","Qualify — bold tests only (10%+ lifts); funnel-wide, 3-week reads",IF($S25="Tier 3","Deprioritise — only exceptional (20%) changes read in 3 weeks",IF($S25="Not a fit","Do not trial A/B — purchase tests cannot read in 3 weeks","Trial only if tests are scored on CTA clicks / leads, not purchases")))))</f>
        <v/>
      </c>
      <c r="U25" s="19" t="str">
        <f aca="false">IF($L25="","",$L25*Assumptions!$C$17*$K25*12/1000000)</f>
        <v/>
      </c>
    </row>
    <row r="26" customFormat="false" ht="15" hidden="false" customHeight="false" outlineLevel="0" collapsed="false">
      <c r="A26" s="14"/>
      <c r="B26" s="14"/>
      <c r="C26" s="15"/>
      <c r="D26" s="15"/>
      <c r="E26" s="16"/>
      <c r="F26" s="16"/>
      <c r="G26" s="17"/>
      <c r="H26" s="15"/>
      <c r="I26" s="14"/>
      <c r="J26" s="18" t="str">
        <f aca="false">IF($C26&lt;&gt;"","Actual orders",IF($E26&lt;&gt;"","Est. from revenue",IF($D26&lt;&gt;"","Est. from traffic × CVR","")))</f>
        <v/>
      </c>
      <c r="K26" s="19" t="n">
        <f aca="false">IF($F26&lt;&gt;"",$F26,IFERROR(INDEX(Assumptions!$D$28:$D$39,MATCH($B26,Assumptions!$B$28:$B$39,0)),Assumptions!$C$19))</f>
        <v>250</v>
      </c>
      <c r="L26" s="20" t="str">
        <f aca="false">IF($C26&lt;&gt;"",$C26/Assumptions!$C$17,IF($E26&lt;&gt;"",$E26*1000000/12/$K26/Assumptions!$C$17,IF($D26&lt;&gt;"",$D26*IF($G26&lt;&gt;"",$G26,IFERROR(INDEX(Assumptions!$C$28:$C$39,MATCH($B26,Assumptions!$B$28:$B$39,0)),Assumptions!$C$18)),"")))</f>
        <v/>
      </c>
      <c r="M26" s="20" t="str">
        <f aca="false">IF($L26="","",IF($D26&lt;&gt;"",$D26,$L26/IF($G26&lt;&gt;"",$G26,IFERROR(INDEX(Assumptions!$C$28:$C$39,MATCH($B26,Assumptions!$B$28:$B$39,0)),Assumptions!$C$18))))</f>
        <v/>
      </c>
      <c r="N26" s="21" t="str">
        <f aca="false">IF($L26="","",MIN($L26/$M26,0.95))</f>
        <v/>
      </c>
      <c r="O26" s="20" t="str">
        <f aca="false">IF($L26="","",$L26*Assumptions!$C$17*12/52)</f>
        <v/>
      </c>
      <c r="P26" s="22" t="str">
        <f aca="false">IF($L26="","",14*((2*Assumptions!$C$23*($N26*(1-$N26)+$N26*(1+Assumptions!$C$11)*(1-$N26*(1+Assumptions!$C$11)))/($N26*Assumptions!$C$11)^2/Assumptions!$C$14)/($M26*Assumptions!$C$24))^(1/Assumptions!$C$16)/7)</f>
        <v/>
      </c>
      <c r="Q26" s="22" t="str">
        <f aca="false">IF($L26="","",14*((2*Assumptions!$C$23*($N26*(1-$N26)+$N26*(1+Assumptions!$C$12)*(1-$N26*(1+Assumptions!$C$12)))/($N26*Assumptions!$C$12)^2/Assumptions!$C$14)/($M26*Assumptions!$C$24))^(1/Assumptions!$C$16)/7)</f>
        <v/>
      </c>
      <c r="R26" s="22" t="str">
        <f aca="false">IF($L26="","",14*((2*Assumptions!$C$23*($N26*(1-$N26)+$N26*(1+Assumptions!$C$13)*(1-$N26*(1+Assumptions!$C$13)))/($N26*Assumptions!$C$13)^2/Assumptions!$C$14)/($M26*Assumptions!$C$24))^(1/Assumptions!$C$16)/7)</f>
        <v/>
      </c>
      <c r="S26" s="23" t="str">
        <f aca="false">IF($L26="","",IF($P26&lt;=Assumptions!$C$9,"Tier 1",IF($P26&lt;=Assumptions!$C$10,"Tier 1 (3-wk)",IF($Q26&lt;=Assumptions!$C$10,"Tier 2",IF($R26&lt;=Assumptions!$C$10,"Tier 3",IF(AND($H26&lt;&gt;"",14*((2*Assumptions!$C$23*(MIN($H26*52/12/$M26,0.95)*(1-MIN($H26*52/12/$M26,0.95))+MIN($H26*52/12/$M26,0.95)*(1+Assumptions!$C$12)*(1-MIN($H26*52/12/$M26,0.95)*(1+Assumptions!$C$12)))/(MIN($H26*52/12/$M26,0.95)*Assumptions!$C$12)^2/Assumptions!$C$14)/($M26*Assumptions!$C$24))^(1/Assumptions!$C$16)/7&lt;=Assumptions!$C$10),"Not a fit — micro-conversion tests only","Not a fit"))))))</f>
        <v/>
      </c>
      <c r="T26" s="18" t="str">
        <f aca="false">IF($S26="","",IF(LEFT($S26,6)="Tier 1","Pursue — trial + fast programme: 5% lifts read in 2–3 weeks",IF($S26="Tier 2","Qualify — bold tests only (10%+ lifts); funnel-wide, 3-week reads",IF($S26="Tier 3","Deprioritise — only exceptional (20%) changes read in 3 weeks",IF($S26="Not a fit","Do not trial A/B — purchase tests cannot read in 3 weeks","Trial only if tests are scored on CTA clicks / leads, not purchases")))))</f>
        <v/>
      </c>
      <c r="U26" s="19" t="str">
        <f aca="false">IF($L26="","",$L26*Assumptions!$C$17*$K26*12/1000000)</f>
        <v/>
      </c>
    </row>
    <row r="27" customFormat="false" ht="15" hidden="false" customHeight="false" outlineLevel="0" collapsed="false">
      <c r="A27" s="14"/>
      <c r="B27" s="14"/>
      <c r="C27" s="15"/>
      <c r="D27" s="15"/>
      <c r="E27" s="16"/>
      <c r="F27" s="16"/>
      <c r="G27" s="17"/>
      <c r="H27" s="15"/>
      <c r="I27" s="14"/>
      <c r="J27" s="18" t="str">
        <f aca="false">IF($C27&lt;&gt;"","Actual orders",IF($E27&lt;&gt;"","Est. from revenue",IF($D27&lt;&gt;"","Est. from traffic × CVR","")))</f>
        <v/>
      </c>
      <c r="K27" s="19" t="n">
        <f aca="false">IF($F27&lt;&gt;"",$F27,IFERROR(INDEX(Assumptions!$D$28:$D$39,MATCH($B27,Assumptions!$B$28:$B$39,0)),Assumptions!$C$19))</f>
        <v>250</v>
      </c>
      <c r="L27" s="20" t="str">
        <f aca="false">IF($C27&lt;&gt;"",$C27/Assumptions!$C$17,IF($E27&lt;&gt;"",$E27*1000000/12/$K27/Assumptions!$C$17,IF($D27&lt;&gt;"",$D27*IF($G27&lt;&gt;"",$G27,IFERROR(INDEX(Assumptions!$C$28:$C$39,MATCH($B27,Assumptions!$B$28:$B$39,0)),Assumptions!$C$18)),"")))</f>
        <v/>
      </c>
      <c r="M27" s="20" t="str">
        <f aca="false">IF($L27="","",IF($D27&lt;&gt;"",$D27,$L27/IF($G27&lt;&gt;"",$G27,IFERROR(INDEX(Assumptions!$C$28:$C$39,MATCH($B27,Assumptions!$B$28:$B$39,0)),Assumptions!$C$18))))</f>
        <v/>
      </c>
      <c r="N27" s="21" t="str">
        <f aca="false">IF($L27="","",MIN($L27/$M27,0.95))</f>
        <v/>
      </c>
      <c r="O27" s="20" t="str">
        <f aca="false">IF($L27="","",$L27*Assumptions!$C$17*12/52)</f>
        <v/>
      </c>
      <c r="P27" s="22" t="str">
        <f aca="false">IF($L27="","",14*((2*Assumptions!$C$23*($N27*(1-$N27)+$N27*(1+Assumptions!$C$11)*(1-$N27*(1+Assumptions!$C$11)))/($N27*Assumptions!$C$11)^2/Assumptions!$C$14)/($M27*Assumptions!$C$24))^(1/Assumptions!$C$16)/7)</f>
        <v/>
      </c>
      <c r="Q27" s="22" t="str">
        <f aca="false">IF($L27="","",14*((2*Assumptions!$C$23*($N27*(1-$N27)+$N27*(1+Assumptions!$C$12)*(1-$N27*(1+Assumptions!$C$12)))/($N27*Assumptions!$C$12)^2/Assumptions!$C$14)/($M27*Assumptions!$C$24))^(1/Assumptions!$C$16)/7)</f>
        <v/>
      </c>
      <c r="R27" s="22" t="str">
        <f aca="false">IF($L27="","",14*((2*Assumptions!$C$23*($N27*(1-$N27)+$N27*(1+Assumptions!$C$13)*(1-$N27*(1+Assumptions!$C$13)))/($N27*Assumptions!$C$13)^2/Assumptions!$C$14)/($M27*Assumptions!$C$24))^(1/Assumptions!$C$16)/7)</f>
        <v/>
      </c>
      <c r="S27" s="23" t="str">
        <f aca="false">IF($L27="","",IF($P27&lt;=Assumptions!$C$9,"Tier 1",IF($P27&lt;=Assumptions!$C$10,"Tier 1 (3-wk)",IF($Q27&lt;=Assumptions!$C$10,"Tier 2",IF($R27&lt;=Assumptions!$C$10,"Tier 3",IF(AND($H27&lt;&gt;"",14*((2*Assumptions!$C$23*(MIN($H27*52/12/$M27,0.95)*(1-MIN($H27*52/12/$M27,0.95))+MIN($H27*52/12/$M27,0.95)*(1+Assumptions!$C$12)*(1-MIN($H27*52/12/$M27,0.95)*(1+Assumptions!$C$12)))/(MIN($H27*52/12/$M27,0.95)*Assumptions!$C$12)^2/Assumptions!$C$14)/($M27*Assumptions!$C$24))^(1/Assumptions!$C$16)/7&lt;=Assumptions!$C$10),"Not a fit — micro-conversion tests only","Not a fit"))))))</f>
        <v/>
      </c>
      <c r="T27" s="18" t="str">
        <f aca="false">IF($S27="","",IF(LEFT($S27,6)="Tier 1","Pursue — trial + fast programme: 5% lifts read in 2–3 weeks",IF($S27="Tier 2","Qualify — bold tests only (10%+ lifts); funnel-wide, 3-week reads",IF($S27="Tier 3","Deprioritise — only exceptional (20%) changes read in 3 weeks",IF($S27="Not a fit","Do not trial A/B — purchase tests cannot read in 3 weeks","Trial only if tests are scored on CTA clicks / leads, not purchases")))))</f>
        <v/>
      </c>
      <c r="U27" s="19" t="str">
        <f aca="false">IF($L27="","",$L27*Assumptions!$C$17*$K27*12/1000000)</f>
        <v/>
      </c>
    </row>
    <row r="28" customFormat="false" ht="15" hidden="false" customHeight="false" outlineLevel="0" collapsed="false">
      <c r="A28" s="14"/>
      <c r="B28" s="14"/>
      <c r="C28" s="15"/>
      <c r="D28" s="15"/>
      <c r="E28" s="16"/>
      <c r="F28" s="16"/>
      <c r="G28" s="17"/>
      <c r="H28" s="15"/>
      <c r="I28" s="14"/>
      <c r="J28" s="18" t="str">
        <f aca="false">IF($C28&lt;&gt;"","Actual orders",IF($E28&lt;&gt;"","Est. from revenue",IF($D28&lt;&gt;"","Est. from traffic × CVR","")))</f>
        <v/>
      </c>
      <c r="K28" s="19" t="n">
        <f aca="false">IF($F28&lt;&gt;"",$F28,IFERROR(INDEX(Assumptions!$D$28:$D$39,MATCH($B28,Assumptions!$B$28:$B$39,0)),Assumptions!$C$19))</f>
        <v>250</v>
      </c>
      <c r="L28" s="20" t="str">
        <f aca="false">IF($C28&lt;&gt;"",$C28/Assumptions!$C$17,IF($E28&lt;&gt;"",$E28*1000000/12/$K28/Assumptions!$C$17,IF($D28&lt;&gt;"",$D28*IF($G28&lt;&gt;"",$G28,IFERROR(INDEX(Assumptions!$C$28:$C$39,MATCH($B28,Assumptions!$B$28:$B$39,0)),Assumptions!$C$18)),"")))</f>
        <v/>
      </c>
      <c r="M28" s="20" t="str">
        <f aca="false">IF($L28="","",IF($D28&lt;&gt;"",$D28,$L28/IF($G28&lt;&gt;"",$G28,IFERROR(INDEX(Assumptions!$C$28:$C$39,MATCH($B28,Assumptions!$B$28:$B$39,0)),Assumptions!$C$18))))</f>
        <v/>
      </c>
      <c r="N28" s="21" t="str">
        <f aca="false">IF($L28="","",MIN($L28/$M28,0.95))</f>
        <v/>
      </c>
      <c r="O28" s="20" t="str">
        <f aca="false">IF($L28="","",$L28*Assumptions!$C$17*12/52)</f>
        <v/>
      </c>
      <c r="P28" s="22" t="str">
        <f aca="false">IF($L28="","",14*((2*Assumptions!$C$23*($N28*(1-$N28)+$N28*(1+Assumptions!$C$11)*(1-$N28*(1+Assumptions!$C$11)))/($N28*Assumptions!$C$11)^2/Assumptions!$C$14)/($M28*Assumptions!$C$24))^(1/Assumptions!$C$16)/7)</f>
        <v/>
      </c>
      <c r="Q28" s="22" t="str">
        <f aca="false">IF($L28="","",14*((2*Assumptions!$C$23*($N28*(1-$N28)+$N28*(1+Assumptions!$C$12)*(1-$N28*(1+Assumptions!$C$12)))/($N28*Assumptions!$C$12)^2/Assumptions!$C$14)/($M28*Assumptions!$C$24))^(1/Assumptions!$C$16)/7)</f>
        <v/>
      </c>
      <c r="R28" s="22" t="str">
        <f aca="false">IF($L28="","",14*((2*Assumptions!$C$23*($N28*(1-$N28)+$N28*(1+Assumptions!$C$13)*(1-$N28*(1+Assumptions!$C$13)))/($N28*Assumptions!$C$13)^2/Assumptions!$C$14)/($M28*Assumptions!$C$24))^(1/Assumptions!$C$16)/7)</f>
        <v/>
      </c>
      <c r="S28" s="23" t="str">
        <f aca="false">IF($L28="","",IF($P28&lt;=Assumptions!$C$9,"Tier 1",IF($P28&lt;=Assumptions!$C$10,"Tier 1 (3-wk)",IF($Q28&lt;=Assumptions!$C$10,"Tier 2",IF($R28&lt;=Assumptions!$C$10,"Tier 3",IF(AND($H28&lt;&gt;"",14*((2*Assumptions!$C$23*(MIN($H28*52/12/$M28,0.95)*(1-MIN($H28*52/12/$M28,0.95))+MIN($H28*52/12/$M28,0.95)*(1+Assumptions!$C$12)*(1-MIN($H28*52/12/$M28,0.95)*(1+Assumptions!$C$12)))/(MIN($H28*52/12/$M28,0.95)*Assumptions!$C$12)^2/Assumptions!$C$14)/($M28*Assumptions!$C$24))^(1/Assumptions!$C$16)/7&lt;=Assumptions!$C$10),"Not a fit — micro-conversion tests only","Not a fit"))))))</f>
        <v/>
      </c>
      <c r="T28" s="18" t="str">
        <f aca="false">IF($S28="","",IF(LEFT($S28,6)="Tier 1","Pursue — trial + fast programme: 5% lifts read in 2–3 weeks",IF($S28="Tier 2","Qualify — bold tests only (10%+ lifts); funnel-wide, 3-week reads",IF($S28="Tier 3","Deprioritise — only exceptional (20%) changes read in 3 weeks",IF($S28="Not a fit","Do not trial A/B — purchase tests cannot read in 3 weeks","Trial only if tests are scored on CTA clicks / leads, not purchases")))))</f>
        <v/>
      </c>
      <c r="U28" s="19" t="str">
        <f aca="false">IF($L28="","",$L28*Assumptions!$C$17*$K28*12/1000000)</f>
        <v/>
      </c>
    </row>
    <row r="29" customFormat="false" ht="15" hidden="false" customHeight="false" outlineLevel="0" collapsed="false">
      <c r="A29" s="14"/>
      <c r="B29" s="14"/>
      <c r="C29" s="15"/>
      <c r="D29" s="15"/>
      <c r="E29" s="16"/>
      <c r="F29" s="16"/>
      <c r="G29" s="17"/>
      <c r="H29" s="15"/>
      <c r="I29" s="14"/>
      <c r="J29" s="18" t="str">
        <f aca="false">IF($C29&lt;&gt;"","Actual orders",IF($E29&lt;&gt;"","Est. from revenue",IF($D29&lt;&gt;"","Est. from traffic × CVR","")))</f>
        <v/>
      </c>
      <c r="K29" s="19" t="n">
        <f aca="false">IF($F29&lt;&gt;"",$F29,IFERROR(INDEX(Assumptions!$D$28:$D$39,MATCH($B29,Assumptions!$B$28:$B$39,0)),Assumptions!$C$19))</f>
        <v>250</v>
      </c>
      <c r="L29" s="20" t="str">
        <f aca="false">IF($C29&lt;&gt;"",$C29/Assumptions!$C$17,IF($E29&lt;&gt;"",$E29*1000000/12/$K29/Assumptions!$C$17,IF($D29&lt;&gt;"",$D29*IF($G29&lt;&gt;"",$G29,IFERROR(INDEX(Assumptions!$C$28:$C$39,MATCH($B29,Assumptions!$B$28:$B$39,0)),Assumptions!$C$18)),"")))</f>
        <v/>
      </c>
      <c r="M29" s="20" t="str">
        <f aca="false">IF($L29="","",IF($D29&lt;&gt;"",$D29,$L29/IF($G29&lt;&gt;"",$G29,IFERROR(INDEX(Assumptions!$C$28:$C$39,MATCH($B29,Assumptions!$B$28:$B$39,0)),Assumptions!$C$18))))</f>
        <v/>
      </c>
      <c r="N29" s="21" t="str">
        <f aca="false">IF($L29="","",MIN($L29/$M29,0.95))</f>
        <v/>
      </c>
      <c r="O29" s="20" t="str">
        <f aca="false">IF($L29="","",$L29*Assumptions!$C$17*12/52)</f>
        <v/>
      </c>
      <c r="P29" s="22" t="str">
        <f aca="false">IF($L29="","",14*((2*Assumptions!$C$23*($N29*(1-$N29)+$N29*(1+Assumptions!$C$11)*(1-$N29*(1+Assumptions!$C$11)))/($N29*Assumptions!$C$11)^2/Assumptions!$C$14)/($M29*Assumptions!$C$24))^(1/Assumptions!$C$16)/7)</f>
        <v/>
      </c>
      <c r="Q29" s="22" t="str">
        <f aca="false">IF($L29="","",14*((2*Assumptions!$C$23*($N29*(1-$N29)+$N29*(1+Assumptions!$C$12)*(1-$N29*(1+Assumptions!$C$12)))/($N29*Assumptions!$C$12)^2/Assumptions!$C$14)/($M29*Assumptions!$C$24))^(1/Assumptions!$C$16)/7)</f>
        <v/>
      </c>
      <c r="R29" s="22" t="str">
        <f aca="false">IF($L29="","",14*((2*Assumptions!$C$23*($N29*(1-$N29)+$N29*(1+Assumptions!$C$13)*(1-$N29*(1+Assumptions!$C$13)))/($N29*Assumptions!$C$13)^2/Assumptions!$C$14)/($M29*Assumptions!$C$24))^(1/Assumptions!$C$16)/7)</f>
        <v/>
      </c>
      <c r="S29" s="23" t="str">
        <f aca="false">IF($L29="","",IF($P29&lt;=Assumptions!$C$9,"Tier 1",IF($P29&lt;=Assumptions!$C$10,"Tier 1 (3-wk)",IF($Q29&lt;=Assumptions!$C$10,"Tier 2",IF($R29&lt;=Assumptions!$C$10,"Tier 3",IF(AND($H29&lt;&gt;"",14*((2*Assumptions!$C$23*(MIN($H29*52/12/$M29,0.95)*(1-MIN($H29*52/12/$M29,0.95))+MIN($H29*52/12/$M29,0.95)*(1+Assumptions!$C$12)*(1-MIN($H29*52/12/$M29,0.95)*(1+Assumptions!$C$12)))/(MIN($H29*52/12/$M29,0.95)*Assumptions!$C$12)^2/Assumptions!$C$14)/($M29*Assumptions!$C$24))^(1/Assumptions!$C$16)/7&lt;=Assumptions!$C$10),"Not a fit — micro-conversion tests only","Not a fit"))))))</f>
        <v/>
      </c>
      <c r="T29" s="18" t="str">
        <f aca="false">IF($S29="","",IF(LEFT($S29,6)="Tier 1","Pursue — trial + fast programme: 5% lifts read in 2–3 weeks",IF($S29="Tier 2","Qualify — bold tests only (10%+ lifts); funnel-wide, 3-week reads",IF($S29="Tier 3","Deprioritise — only exceptional (20%) changes read in 3 weeks",IF($S29="Not a fit","Do not trial A/B — purchase tests cannot read in 3 weeks","Trial only if tests are scored on CTA clicks / leads, not purchases")))))</f>
        <v/>
      </c>
      <c r="U29" s="19" t="str">
        <f aca="false">IF($L29="","",$L29*Assumptions!$C$17*$K29*12/1000000)</f>
        <v/>
      </c>
    </row>
    <row r="30" customFormat="false" ht="15" hidden="false" customHeight="false" outlineLevel="0" collapsed="false">
      <c r="A30" s="14"/>
      <c r="B30" s="14"/>
      <c r="C30" s="15"/>
      <c r="D30" s="15"/>
      <c r="E30" s="16"/>
      <c r="F30" s="16"/>
      <c r="G30" s="17"/>
      <c r="H30" s="15"/>
      <c r="I30" s="14"/>
      <c r="J30" s="18" t="str">
        <f aca="false">IF($C30&lt;&gt;"","Actual orders",IF($E30&lt;&gt;"","Est. from revenue",IF($D30&lt;&gt;"","Est. from traffic × CVR","")))</f>
        <v/>
      </c>
      <c r="K30" s="19" t="n">
        <f aca="false">IF($F30&lt;&gt;"",$F30,IFERROR(INDEX(Assumptions!$D$28:$D$39,MATCH($B30,Assumptions!$B$28:$B$39,0)),Assumptions!$C$19))</f>
        <v>250</v>
      </c>
      <c r="L30" s="20" t="str">
        <f aca="false">IF($C30&lt;&gt;"",$C30/Assumptions!$C$17,IF($E30&lt;&gt;"",$E30*1000000/12/$K30/Assumptions!$C$17,IF($D30&lt;&gt;"",$D30*IF($G30&lt;&gt;"",$G30,IFERROR(INDEX(Assumptions!$C$28:$C$39,MATCH($B30,Assumptions!$B$28:$B$39,0)),Assumptions!$C$18)),"")))</f>
        <v/>
      </c>
      <c r="M30" s="20" t="str">
        <f aca="false">IF($L30="","",IF($D30&lt;&gt;"",$D30,$L30/IF($G30&lt;&gt;"",$G30,IFERROR(INDEX(Assumptions!$C$28:$C$39,MATCH($B30,Assumptions!$B$28:$B$39,0)),Assumptions!$C$18))))</f>
        <v/>
      </c>
      <c r="N30" s="21" t="str">
        <f aca="false">IF($L30="","",MIN($L30/$M30,0.95))</f>
        <v/>
      </c>
      <c r="O30" s="20" t="str">
        <f aca="false">IF($L30="","",$L30*Assumptions!$C$17*12/52)</f>
        <v/>
      </c>
      <c r="P30" s="22" t="str">
        <f aca="false">IF($L30="","",14*((2*Assumptions!$C$23*($N30*(1-$N30)+$N30*(1+Assumptions!$C$11)*(1-$N30*(1+Assumptions!$C$11)))/($N30*Assumptions!$C$11)^2/Assumptions!$C$14)/($M30*Assumptions!$C$24))^(1/Assumptions!$C$16)/7)</f>
        <v/>
      </c>
      <c r="Q30" s="22" t="str">
        <f aca="false">IF($L30="","",14*((2*Assumptions!$C$23*($N30*(1-$N30)+$N30*(1+Assumptions!$C$12)*(1-$N30*(1+Assumptions!$C$12)))/($N30*Assumptions!$C$12)^2/Assumptions!$C$14)/($M30*Assumptions!$C$24))^(1/Assumptions!$C$16)/7)</f>
        <v/>
      </c>
      <c r="R30" s="22" t="str">
        <f aca="false">IF($L30="","",14*((2*Assumptions!$C$23*($N30*(1-$N30)+$N30*(1+Assumptions!$C$13)*(1-$N30*(1+Assumptions!$C$13)))/($N30*Assumptions!$C$13)^2/Assumptions!$C$14)/($M30*Assumptions!$C$24))^(1/Assumptions!$C$16)/7)</f>
        <v/>
      </c>
      <c r="S30" s="23" t="str">
        <f aca="false">IF($L30="","",IF($P30&lt;=Assumptions!$C$9,"Tier 1",IF($P30&lt;=Assumptions!$C$10,"Tier 1 (3-wk)",IF($Q30&lt;=Assumptions!$C$10,"Tier 2",IF($R30&lt;=Assumptions!$C$10,"Tier 3",IF(AND($H30&lt;&gt;"",14*((2*Assumptions!$C$23*(MIN($H30*52/12/$M30,0.95)*(1-MIN($H30*52/12/$M30,0.95))+MIN($H30*52/12/$M30,0.95)*(1+Assumptions!$C$12)*(1-MIN($H30*52/12/$M30,0.95)*(1+Assumptions!$C$12)))/(MIN($H30*52/12/$M30,0.95)*Assumptions!$C$12)^2/Assumptions!$C$14)/($M30*Assumptions!$C$24))^(1/Assumptions!$C$16)/7&lt;=Assumptions!$C$10),"Not a fit — micro-conversion tests only","Not a fit"))))))</f>
        <v/>
      </c>
      <c r="T30" s="18" t="str">
        <f aca="false">IF($S30="","",IF(LEFT($S30,6)="Tier 1","Pursue — trial + fast programme: 5% lifts read in 2–3 weeks",IF($S30="Tier 2","Qualify — bold tests only (10%+ lifts); funnel-wide, 3-week reads",IF($S30="Tier 3","Deprioritise — only exceptional (20%) changes read in 3 weeks",IF($S30="Not a fit","Do not trial A/B — purchase tests cannot read in 3 weeks","Trial only if tests are scored on CTA clicks / leads, not purchases")))))</f>
        <v/>
      </c>
      <c r="U30" s="19" t="str">
        <f aca="false">IF($L30="","",$L30*Assumptions!$C$17*$K30*12/1000000)</f>
        <v/>
      </c>
    </row>
    <row r="31" customFormat="false" ht="15" hidden="false" customHeight="false" outlineLevel="0" collapsed="false">
      <c r="A31" s="14"/>
      <c r="B31" s="14"/>
      <c r="C31" s="15"/>
      <c r="D31" s="15"/>
      <c r="E31" s="16"/>
      <c r="F31" s="16"/>
      <c r="G31" s="17"/>
      <c r="H31" s="15"/>
      <c r="I31" s="14"/>
      <c r="J31" s="18" t="str">
        <f aca="false">IF($C31&lt;&gt;"","Actual orders",IF($E31&lt;&gt;"","Est. from revenue",IF($D31&lt;&gt;"","Est. from traffic × CVR","")))</f>
        <v/>
      </c>
      <c r="K31" s="19" t="n">
        <f aca="false">IF($F31&lt;&gt;"",$F31,IFERROR(INDEX(Assumptions!$D$28:$D$39,MATCH($B31,Assumptions!$B$28:$B$39,0)),Assumptions!$C$19))</f>
        <v>250</v>
      </c>
      <c r="L31" s="20" t="str">
        <f aca="false">IF($C31&lt;&gt;"",$C31/Assumptions!$C$17,IF($E31&lt;&gt;"",$E31*1000000/12/$K31/Assumptions!$C$17,IF($D31&lt;&gt;"",$D31*IF($G31&lt;&gt;"",$G31,IFERROR(INDEX(Assumptions!$C$28:$C$39,MATCH($B31,Assumptions!$B$28:$B$39,0)),Assumptions!$C$18)),"")))</f>
        <v/>
      </c>
      <c r="M31" s="20" t="str">
        <f aca="false">IF($L31="","",IF($D31&lt;&gt;"",$D31,$L31/IF($G31&lt;&gt;"",$G31,IFERROR(INDEX(Assumptions!$C$28:$C$39,MATCH($B31,Assumptions!$B$28:$B$39,0)),Assumptions!$C$18))))</f>
        <v/>
      </c>
      <c r="N31" s="21" t="str">
        <f aca="false">IF($L31="","",MIN($L31/$M31,0.95))</f>
        <v/>
      </c>
      <c r="O31" s="20" t="str">
        <f aca="false">IF($L31="","",$L31*Assumptions!$C$17*12/52)</f>
        <v/>
      </c>
      <c r="P31" s="22" t="str">
        <f aca="false">IF($L31="","",14*((2*Assumptions!$C$23*($N31*(1-$N31)+$N31*(1+Assumptions!$C$11)*(1-$N31*(1+Assumptions!$C$11)))/($N31*Assumptions!$C$11)^2/Assumptions!$C$14)/($M31*Assumptions!$C$24))^(1/Assumptions!$C$16)/7)</f>
        <v/>
      </c>
      <c r="Q31" s="22" t="str">
        <f aca="false">IF($L31="","",14*((2*Assumptions!$C$23*($N31*(1-$N31)+$N31*(1+Assumptions!$C$12)*(1-$N31*(1+Assumptions!$C$12)))/($N31*Assumptions!$C$12)^2/Assumptions!$C$14)/($M31*Assumptions!$C$24))^(1/Assumptions!$C$16)/7)</f>
        <v/>
      </c>
      <c r="R31" s="22" t="str">
        <f aca="false">IF($L31="","",14*((2*Assumptions!$C$23*($N31*(1-$N31)+$N31*(1+Assumptions!$C$13)*(1-$N31*(1+Assumptions!$C$13)))/($N31*Assumptions!$C$13)^2/Assumptions!$C$14)/($M31*Assumptions!$C$24))^(1/Assumptions!$C$16)/7)</f>
        <v/>
      </c>
      <c r="S31" s="23" t="str">
        <f aca="false">IF($L31="","",IF($P31&lt;=Assumptions!$C$9,"Tier 1",IF($P31&lt;=Assumptions!$C$10,"Tier 1 (3-wk)",IF($Q31&lt;=Assumptions!$C$10,"Tier 2",IF($R31&lt;=Assumptions!$C$10,"Tier 3",IF(AND($H31&lt;&gt;"",14*((2*Assumptions!$C$23*(MIN($H31*52/12/$M31,0.95)*(1-MIN($H31*52/12/$M31,0.95))+MIN($H31*52/12/$M31,0.95)*(1+Assumptions!$C$12)*(1-MIN($H31*52/12/$M31,0.95)*(1+Assumptions!$C$12)))/(MIN($H31*52/12/$M31,0.95)*Assumptions!$C$12)^2/Assumptions!$C$14)/($M31*Assumptions!$C$24))^(1/Assumptions!$C$16)/7&lt;=Assumptions!$C$10),"Not a fit — micro-conversion tests only","Not a fit"))))))</f>
        <v/>
      </c>
      <c r="T31" s="18" t="str">
        <f aca="false">IF($S31="","",IF(LEFT($S31,6)="Tier 1","Pursue — trial + fast programme: 5% lifts read in 2–3 weeks",IF($S31="Tier 2","Qualify — bold tests only (10%+ lifts); funnel-wide, 3-week reads",IF($S31="Tier 3","Deprioritise — only exceptional (20%) changes read in 3 weeks",IF($S31="Not a fit","Do not trial A/B — purchase tests cannot read in 3 weeks","Trial only if tests are scored on CTA clicks / leads, not purchases")))))</f>
        <v/>
      </c>
      <c r="U31" s="19" t="str">
        <f aca="false">IF($L31="","",$L31*Assumptions!$C$17*$K31*12/1000000)</f>
        <v/>
      </c>
    </row>
    <row r="32" customFormat="false" ht="15" hidden="false" customHeight="false" outlineLevel="0" collapsed="false">
      <c r="A32" s="14"/>
      <c r="B32" s="14"/>
      <c r="C32" s="15"/>
      <c r="D32" s="15"/>
      <c r="E32" s="16"/>
      <c r="F32" s="16"/>
      <c r="G32" s="17"/>
      <c r="H32" s="15"/>
      <c r="I32" s="14"/>
      <c r="J32" s="18" t="str">
        <f aca="false">IF($C32&lt;&gt;"","Actual orders",IF($E32&lt;&gt;"","Est. from revenue",IF($D32&lt;&gt;"","Est. from traffic × CVR","")))</f>
        <v/>
      </c>
      <c r="K32" s="19" t="n">
        <f aca="false">IF($F32&lt;&gt;"",$F32,IFERROR(INDEX(Assumptions!$D$28:$D$39,MATCH($B32,Assumptions!$B$28:$B$39,0)),Assumptions!$C$19))</f>
        <v>250</v>
      </c>
      <c r="L32" s="20" t="str">
        <f aca="false">IF($C32&lt;&gt;"",$C32/Assumptions!$C$17,IF($E32&lt;&gt;"",$E32*1000000/12/$K32/Assumptions!$C$17,IF($D32&lt;&gt;"",$D32*IF($G32&lt;&gt;"",$G32,IFERROR(INDEX(Assumptions!$C$28:$C$39,MATCH($B32,Assumptions!$B$28:$B$39,0)),Assumptions!$C$18)),"")))</f>
        <v/>
      </c>
      <c r="M32" s="20" t="str">
        <f aca="false">IF($L32="","",IF($D32&lt;&gt;"",$D32,$L32/IF($G32&lt;&gt;"",$G32,IFERROR(INDEX(Assumptions!$C$28:$C$39,MATCH($B32,Assumptions!$B$28:$B$39,0)),Assumptions!$C$18))))</f>
        <v/>
      </c>
      <c r="N32" s="21" t="str">
        <f aca="false">IF($L32="","",MIN($L32/$M32,0.95))</f>
        <v/>
      </c>
      <c r="O32" s="20" t="str">
        <f aca="false">IF($L32="","",$L32*Assumptions!$C$17*12/52)</f>
        <v/>
      </c>
      <c r="P32" s="22" t="str">
        <f aca="false">IF($L32="","",14*((2*Assumptions!$C$23*($N32*(1-$N32)+$N32*(1+Assumptions!$C$11)*(1-$N32*(1+Assumptions!$C$11)))/($N32*Assumptions!$C$11)^2/Assumptions!$C$14)/($M32*Assumptions!$C$24))^(1/Assumptions!$C$16)/7)</f>
        <v/>
      </c>
      <c r="Q32" s="22" t="str">
        <f aca="false">IF($L32="","",14*((2*Assumptions!$C$23*($N32*(1-$N32)+$N32*(1+Assumptions!$C$12)*(1-$N32*(1+Assumptions!$C$12)))/($N32*Assumptions!$C$12)^2/Assumptions!$C$14)/($M32*Assumptions!$C$24))^(1/Assumptions!$C$16)/7)</f>
        <v/>
      </c>
      <c r="R32" s="22" t="str">
        <f aca="false">IF($L32="","",14*((2*Assumptions!$C$23*($N32*(1-$N32)+$N32*(1+Assumptions!$C$13)*(1-$N32*(1+Assumptions!$C$13)))/($N32*Assumptions!$C$13)^2/Assumptions!$C$14)/($M32*Assumptions!$C$24))^(1/Assumptions!$C$16)/7)</f>
        <v/>
      </c>
      <c r="S32" s="23" t="str">
        <f aca="false">IF($L32="","",IF($P32&lt;=Assumptions!$C$9,"Tier 1",IF($P32&lt;=Assumptions!$C$10,"Tier 1 (3-wk)",IF($Q32&lt;=Assumptions!$C$10,"Tier 2",IF($R32&lt;=Assumptions!$C$10,"Tier 3",IF(AND($H32&lt;&gt;"",14*((2*Assumptions!$C$23*(MIN($H32*52/12/$M32,0.95)*(1-MIN($H32*52/12/$M32,0.95))+MIN($H32*52/12/$M32,0.95)*(1+Assumptions!$C$12)*(1-MIN($H32*52/12/$M32,0.95)*(1+Assumptions!$C$12)))/(MIN($H32*52/12/$M32,0.95)*Assumptions!$C$12)^2/Assumptions!$C$14)/($M32*Assumptions!$C$24))^(1/Assumptions!$C$16)/7&lt;=Assumptions!$C$10),"Not a fit — micro-conversion tests only","Not a fit"))))))</f>
        <v/>
      </c>
      <c r="T32" s="18" t="str">
        <f aca="false">IF($S32="","",IF(LEFT($S32,6)="Tier 1","Pursue — trial + fast programme: 5% lifts read in 2–3 weeks",IF($S32="Tier 2","Qualify — bold tests only (10%+ lifts); funnel-wide, 3-week reads",IF($S32="Tier 3","Deprioritise — only exceptional (20%) changes read in 3 weeks",IF($S32="Not a fit","Do not trial A/B — purchase tests cannot read in 3 weeks","Trial only if tests are scored on CTA clicks / leads, not purchases")))))</f>
        <v/>
      </c>
      <c r="U32" s="19" t="str">
        <f aca="false">IF($L32="","",$L32*Assumptions!$C$17*$K32*12/1000000)</f>
        <v/>
      </c>
    </row>
    <row r="33" customFormat="false" ht="15" hidden="false" customHeight="false" outlineLevel="0" collapsed="false">
      <c r="A33" s="14"/>
      <c r="B33" s="14"/>
      <c r="C33" s="15"/>
      <c r="D33" s="15"/>
      <c r="E33" s="16"/>
      <c r="F33" s="16"/>
      <c r="G33" s="17"/>
      <c r="H33" s="15"/>
      <c r="I33" s="14"/>
      <c r="J33" s="18" t="str">
        <f aca="false">IF($C33&lt;&gt;"","Actual orders",IF($E33&lt;&gt;"","Est. from revenue",IF($D33&lt;&gt;"","Est. from traffic × CVR","")))</f>
        <v/>
      </c>
      <c r="K33" s="19" t="n">
        <f aca="false">IF($F33&lt;&gt;"",$F33,IFERROR(INDEX(Assumptions!$D$28:$D$39,MATCH($B33,Assumptions!$B$28:$B$39,0)),Assumptions!$C$19))</f>
        <v>250</v>
      </c>
      <c r="L33" s="20" t="str">
        <f aca="false">IF($C33&lt;&gt;"",$C33/Assumptions!$C$17,IF($E33&lt;&gt;"",$E33*1000000/12/$K33/Assumptions!$C$17,IF($D33&lt;&gt;"",$D33*IF($G33&lt;&gt;"",$G33,IFERROR(INDEX(Assumptions!$C$28:$C$39,MATCH($B33,Assumptions!$B$28:$B$39,0)),Assumptions!$C$18)),"")))</f>
        <v/>
      </c>
      <c r="M33" s="20" t="str">
        <f aca="false">IF($L33="","",IF($D33&lt;&gt;"",$D33,$L33/IF($G33&lt;&gt;"",$G33,IFERROR(INDEX(Assumptions!$C$28:$C$39,MATCH($B33,Assumptions!$B$28:$B$39,0)),Assumptions!$C$18))))</f>
        <v/>
      </c>
      <c r="N33" s="21" t="str">
        <f aca="false">IF($L33="","",MIN($L33/$M33,0.95))</f>
        <v/>
      </c>
      <c r="O33" s="20" t="str">
        <f aca="false">IF($L33="","",$L33*Assumptions!$C$17*12/52)</f>
        <v/>
      </c>
      <c r="P33" s="22" t="str">
        <f aca="false">IF($L33="","",14*((2*Assumptions!$C$23*($N33*(1-$N33)+$N33*(1+Assumptions!$C$11)*(1-$N33*(1+Assumptions!$C$11)))/($N33*Assumptions!$C$11)^2/Assumptions!$C$14)/($M33*Assumptions!$C$24))^(1/Assumptions!$C$16)/7)</f>
        <v/>
      </c>
      <c r="Q33" s="22" t="str">
        <f aca="false">IF($L33="","",14*((2*Assumptions!$C$23*($N33*(1-$N33)+$N33*(1+Assumptions!$C$12)*(1-$N33*(1+Assumptions!$C$12)))/($N33*Assumptions!$C$12)^2/Assumptions!$C$14)/($M33*Assumptions!$C$24))^(1/Assumptions!$C$16)/7)</f>
        <v/>
      </c>
      <c r="R33" s="22" t="str">
        <f aca="false">IF($L33="","",14*((2*Assumptions!$C$23*($N33*(1-$N33)+$N33*(1+Assumptions!$C$13)*(1-$N33*(1+Assumptions!$C$13)))/($N33*Assumptions!$C$13)^2/Assumptions!$C$14)/($M33*Assumptions!$C$24))^(1/Assumptions!$C$16)/7)</f>
        <v/>
      </c>
      <c r="S33" s="23" t="str">
        <f aca="false">IF($L33="","",IF($P33&lt;=Assumptions!$C$9,"Tier 1",IF($P33&lt;=Assumptions!$C$10,"Tier 1 (3-wk)",IF($Q33&lt;=Assumptions!$C$10,"Tier 2",IF($R33&lt;=Assumptions!$C$10,"Tier 3",IF(AND($H33&lt;&gt;"",14*((2*Assumptions!$C$23*(MIN($H33*52/12/$M33,0.95)*(1-MIN($H33*52/12/$M33,0.95))+MIN($H33*52/12/$M33,0.95)*(1+Assumptions!$C$12)*(1-MIN($H33*52/12/$M33,0.95)*(1+Assumptions!$C$12)))/(MIN($H33*52/12/$M33,0.95)*Assumptions!$C$12)^2/Assumptions!$C$14)/($M33*Assumptions!$C$24))^(1/Assumptions!$C$16)/7&lt;=Assumptions!$C$10),"Not a fit — micro-conversion tests only","Not a fit"))))))</f>
        <v/>
      </c>
      <c r="T33" s="18" t="str">
        <f aca="false">IF($S33="","",IF(LEFT($S33,6)="Tier 1","Pursue — trial + fast programme: 5% lifts read in 2–3 weeks",IF($S33="Tier 2","Qualify — bold tests only (10%+ lifts); funnel-wide, 3-week reads",IF($S33="Tier 3","Deprioritise — only exceptional (20%) changes read in 3 weeks",IF($S33="Not a fit","Do not trial A/B — purchase tests cannot read in 3 weeks","Trial only if tests are scored on CTA clicks / leads, not purchases")))))</f>
        <v/>
      </c>
      <c r="U33" s="19" t="str">
        <f aca="false">IF($L33="","",$L33*Assumptions!$C$17*$K33*12/1000000)</f>
        <v/>
      </c>
    </row>
    <row r="34" customFormat="false" ht="15" hidden="false" customHeight="false" outlineLevel="0" collapsed="false">
      <c r="A34" s="14"/>
      <c r="B34" s="14"/>
      <c r="C34" s="15"/>
      <c r="D34" s="15"/>
      <c r="E34" s="16"/>
      <c r="F34" s="16"/>
      <c r="G34" s="17"/>
      <c r="H34" s="15"/>
      <c r="I34" s="14"/>
      <c r="J34" s="18" t="str">
        <f aca="false">IF($C34&lt;&gt;"","Actual orders",IF($E34&lt;&gt;"","Est. from revenue",IF($D34&lt;&gt;"","Est. from traffic × CVR","")))</f>
        <v/>
      </c>
      <c r="K34" s="19" t="n">
        <f aca="false">IF($F34&lt;&gt;"",$F34,IFERROR(INDEX(Assumptions!$D$28:$D$39,MATCH($B34,Assumptions!$B$28:$B$39,0)),Assumptions!$C$19))</f>
        <v>250</v>
      </c>
      <c r="L34" s="20" t="str">
        <f aca="false">IF($C34&lt;&gt;"",$C34/Assumptions!$C$17,IF($E34&lt;&gt;"",$E34*1000000/12/$K34/Assumptions!$C$17,IF($D34&lt;&gt;"",$D34*IF($G34&lt;&gt;"",$G34,IFERROR(INDEX(Assumptions!$C$28:$C$39,MATCH($B34,Assumptions!$B$28:$B$39,0)),Assumptions!$C$18)),"")))</f>
        <v/>
      </c>
      <c r="M34" s="20" t="str">
        <f aca="false">IF($L34="","",IF($D34&lt;&gt;"",$D34,$L34/IF($G34&lt;&gt;"",$G34,IFERROR(INDEX(Assumptions!$C$28:$C$39,MATCH($B34,Assumptions!$B$28:$B$39,0)),Assumptions!$C$18))))</f>
        <v/>
      </c>
      <c r="N34" s="21" t="str">
        <f aca="false">IF($L34="","",MIN($L34/$M34,0.95))</f>
        <v/>
      </c>
      <c r="O34" s="20" t="str">
        <f aca="false">IF($L34="","",$L34*Assumptions!$C$17*12/52)</f>
        <v/>
      </c>
      <c r="P34" s="22" t="str">
        <f aca="false">IF($L34="","",14*((2*Assumptions!$C$23*($N34*(1-$N34)+$N34*(1+Assumptions!$C$11)*(1-$N34*(1+Assumptions!$C$11)))/($N34*Assumptions!$C$11)^2/Assumptions!$C$14)/($M34*Assumptions!$C$24))^(1/Assumptions!$C$16)/7)</f>
        <v/>
      </c>
      <c r="Q34" s="22" t="str">
        <f aca="false">IF($L34="","",14*((2*Assumptions!$C$23*($N34*(1-$N34)+$N34*(1+Assumptions!$C$12)*(1-$N34*(1+Assumptions!$C$12)))/($N34*Assumptions!$C$12)^2/Assumptions!$C$14)/($M34*Assumptions!$C$24))^(1/Assumptions!$C$16)/7)</f>
        <v/>
      </c>
      <c r="R34" s="22" t="str">
        <f aca="false">IF($L34="","",14*((2*Assumptions!$C$23*($N34*(1-$N34)+$N34*(1+Assumptions!$C$13)*(1-$N34*(1+Assumptions!$C$13)))/($N34*Assumptions!$C$13)^2/Assumptions!$C$14)/($M34*Assumptions!$C$24))^(1/Assumptions!$C$16)/7)</f>
        <v/>
      </c>
      <c r="S34" s="23" t="str">
        <f aca="false">IF($L34="","",IF($P34&lt;=Assumptions!$C$9,"Tier 1",IF($P34&lt;=Assumptions!$C$10,"Tier 1 (3-wk)",IF($Q34&lt;=Assumptions!$C$10,"Tier 2",IF($R34&lt;=Assumptions!$C$10,"Tier 3",IF(AND($H34&lt;&gt;"",14*((2*Assumptions!$C$23*(MIN($H34*52/12/$M34,0.95)*(1-MIN($H34*52/12/$M34,0.95))+MIN($H34*52/12/$M34,0.95)*(1+Assumptions!$C$12)*(1-MIN($H34*52/12/$M34,0.95)*(1+Assumptions!$C$12)))/(MIN($H34*52/12/$M34,0.95)*Assumptions!$C$12)^2/Assumptions!$C$14)/($M34*Assumptions!$C$24))^(1/Assumptions!$C$16)/7&lt;=Assumptions!$C$10),"Not a fit — micro-conversion tests only","Not a fit"))))))</f>
        <v/>
      </c>
      <c r="T34" s="18" t="str">
        <f aca="false">IF($S34="","",IF(LEFT($S34,6)="Tier 1","Pursue — trial + fast programme: 5% lifts read in 2–3 weeks",IF($S34="Tier 2","Qualify — bold tests only (10%+ lifts); funnel-wide, 3-week reads",IF($S34="Tier 3","Deprioritise — only exceptional (20%) changes read in 3 weeks",IF($S34="Not a fit","Do not trial A/B — purchase tests cannot read in 3 weeks","Trial only if tests are scored on CTA clicks / leads, not purchases")))))</f>
        <v/>
      </c>
      <c r="U34" s="19" t="str">
        <f aca="false">IF($L34="","",$L34*Assumptions!$C$17*$K34*12/1000000)</f>
        <v/>
      </c>
    </row>
    <row r="35" customFormat="false" ht="15" hidden="false" customHeight="false" outlineLevel="0" collapsed="false">
      <c r="A35" s="14"/>
      <c r="B35" s="14"/>
      <c r="C35" s="15"/>
      <c r="D35" s="15"/>
      <c r="E35" s="16"/>
      <c r="F35" s="16"/>
      <c r="G35" s="17"/>
      <c r="H35" s="15"/>
      <c r="I35" s="14"/>
      <c r="J35" s="18" t="str">
        <f aca="false">IF($C35&lt;&gt;"","Actual orders",IF($E35&lt;&gt;"","Est. from revenue",IF($D35&lt;&gt;"","Est. from traffic × CVR","")))</f>
        <v/>
      </c>
      <c r="K35" s="19" t="n">
        <f aca="false">IF($F35&lt;&gt;"",$F35,IFERROR(INDEX(Assumptions!$D$28:$D$39,MATCH($B35,Assumptions!$B$28:$B$39,0)),Assumptions!$C$19))</f>
        <v>250</v>
      </c>
      <c r="L35" s="20" t="str">
        <f aca="false">IF($C35&lt;&gt;"",$C35/Assumptions!$C$17,IF($E35&lt;&gt;"",$E35*1000000/12/$K35/Assumptions!$C$17,IF($D35&lt;&gt;"",$D35*IF($G35&lt;&gt;"",$G35,IFERROR(INDEX(Assumptions!$C$28:$C$39,MATCH($B35,Assumptions!$B$28:$B$39,0)),Assumptions!$C$18)),"")))</f>
        <v/>
      </c>
      <c r="M35" s="20" t="str">
        <f aca="false">IF($L35="","",IF($D35&lt;&gt;"",$D35,$L35/IF($G35&lt;&gt;"",$G35,IFERROR(INDEX(Assumptions!$C$28:$C$39,MATCH($B35,Assumptions!$B$28:$B$39,0)),Assumptions!$C$18))))</f>
        <v/>
      </c>
      <c r="N35" s="21" t="str">
        <f aca="false">IF($L35="","",MIN($L35/$M35,0.95))</f>
        <v/>
      </c>
      <c r="O35" s="20" t="str">
        <f aca="false">IF($L35="","",$L35*Assumptions!$C$17*12/52)</f>
        <v/>
      </c>
      <c r="P35" s="22" t="str">
        <f aca="false">IF($L35="","",14*((2*Assumptions!$C$23*($N35*(1-$N35)+$N35*(1+Assumptions!$C$11)*(1-$N35*(1+Assumptions!$C$11)))/($N35*Assumptions!$C$11)^2/Assumptions!$C$14)/($M35*Assumptions!$C$24))^(1/Assumptions!$C$16)/7)</f>
        <v/>
      </c>
      <c r="Q35" s="22" t="str">
        <f aca="false">IF($L35="","",14*((2*Assumptions!$C$23*($N35*(1-$N35)+$N35*(1+Assumptions!$C$12)*(1-$N35*(1+Assumptions!$C$12)))/($N35*Assumptions!$C$12)^2/Assumptions!$C$14)/($M35*Assumptions!$C$24))^(1/Assumptions!$C$16)/7)</f>
        <v/>
      </c>
      <c r="R35" s="22" t="str">
        <f aca="false">IF($L35="","",14*((2*Assumptions!$C$23*($N35*(1-$N35)+$N35*(1+Assumptions!$C$13)*(1-$N35*(1+Assumptions!$C$13)))/($N35*Assumptions!$C$13)^2/Assumptions!$C$14)/($M35*Assumptions!$C$24))^(1/Assumptions!$C$16)/7)</f>
        <v/>
      </c>
      <c r="S35" s="23" t="str">
        <f aca="false">IF($L35="","",IF($P35&lt;=Assumptions!$C$9,"Tier 1",IF($P35&lt;=Assumptions!$C$10,"Tier 1 (3-wk)",IF($Q35&lt;=Assumptions!$C$10,"Tier 2",IF($R35&lt;=Assumptions!$C$10,"Tier 3",IF(AND($H35&lt;&gt;"",14*((2*Assumptions!$C$23*(MIN($H35*52/12/$M35,0.95)*(1-MIN($H35*52/12/$M35,0.95))+MIN($H35*52/12/$M35,0.95)*(1+Assumptions!$C$12)*(1-MIN($H35*52/12/$M35,0.95)*(1+Assumptions!$C$12)))/(MIN($H35*52/12/$M35,0.95)*Assumptions!$C$12)^2/Assumptions!$C$14)/($M35*Assumptions!$C$24))^(1/Assumptions!$C$16)/7&lt;=Assumptions!$C$10),"Not a fit — micro-conversion tests only","Not a fit"))))))</f>
        <v/>
      </c>
      <c r="T35" s="18" t="str">
        <f aca="false">IF($S35="","",IF(LEFT($S35,6)="Tier 1","Pursue — trial + fast programme: 5% lifts read in 2–3 weeks",IF($S35="Tier 2","Qualify — bold tests only (10%+ lifts); funnel-wide, 3-week reads",IF($S35="Tier 3","Deprioritise — only exceptional (20%) changes read in 3 weeks",IF($S35="Not a fit","Do not trial A/B — purchase tests cannot read in 3 weeks","Trial only if tests are scored on CTA clicks / leads, not purchases")))))</f>
        <v/>
      </c>
      <c r="U35" s="19" t="str">
        <f aca="false">IF($L35="","",$L35*Assumptions!$C$17*$K35*12/1000000)</f>
        <v/>
      </c>
    </row>
    <row r="36" customFormat="false" ht="15" hidden="false" customHeight="false" outlineLevel="0" collapsed="false">
      <c r="A36" s="14"/>
      <c r="B36" s="14"/>
      <c r="C36" s="15"/>
      <c r="D36" s="15"/>
      <c r="E36" s="16"/>
      <c r="F36" s="16"/>
      <c r="G36" s="17"/>
      <c r="H36" s="15"/>
      <c r="I36" s="14"/>
      <c r="J36" s="18" t="str">
        <f aca="false">IF($C36&lt;&gt;"","Actual orders",IF($E36&lt;&gt;"","Est. from revenue",IF($D36&lt;&gt;"","Est. from traffic × CVR","")))</f>
        <v/>
      </c>
      <c r="K36" s="19" t="n">
        <f aca="false">IF($F36&lt;&gt;"",$F36,IFERROR(INDEX(Assumptions!$D$28:$D$39,MATCH($B36,Assumptions!$B$28:$B$39,0)),Assumptions!$C$19))</f>
        <v>250</v>
      </c>
      <c r="L36" s="20" t="str">
        <f aca="false">IF($C36&lt;&gt;"",$C36/Assumptions!$C$17,IF($E36&lt;&gt;"",$E36*1000000/12/$K36/Assumptions!$C$17,IF($D36&lt;&gt;"",$D36*IF($G36&lt;&gt;"",$G36,IFERROR(INDEX(Assumptions!$C$28:$C$39,MATCH($B36,Assumptions!$B$28:$B$39,0)),Assumptions!$C$18)),"")))</f>
        <v/>
      </c>
      <c r="M36" s="20" t="str">
        <f aca="false">IF($L36="","",IF($D36&lt;&gt;"",$D36,$L36/IF($G36&lt;&gt;"",$G36,IFERROR(INDEX(Assumptions!$C$28:$C$39,MATCH($B36,Assumptions!$B$28:$B$39,0)),Assumptions!$C$18))))</f>
        <v/>
      </c>
      <c r="N36" s="21" t="str">
        <f aca="false">IF($L36="","",MIN($L36/$M36,0.95))</f>
        <v/>
      </c>
      <c r="O36" s="20" t="str">
        <f aca="false">IF($L36="","",$L36*Assumptions!$C$17*12/52)</f>
        <v/>
      </c>
      <c r="P36" s="22" t="str">
        <f aca="false">IF($L36="","",14*((2*Assumptions!$C$23*($N36*(1-$N36)+$N36*(1+Assumptions!$C$11)*(1-$N36*(1+Assumptions!$C$11)))/($N36*Assumptions!$C$11)^2/Assumptions!$C$14)/($M36*Assumptions!$C$24))^(1/Assumptions!$C$16)/7)</f>
        <v/>
      </c>
      <c r="Q36" s="22" t="str">
        <f aca="false">IF($L36="","",14*((2*Assumptions!$C$23*($N36*(1-$N36)+$N36*(1+Assumptions!$C$12)*(1-$N36*(1+Assumptions!$C$12)))/($N36*Assumptions!$C$12)^2/Assumptions!$C$14)/($M36*Assumptions!$C$24))^(1/Assumptions!$C$16)/7)</f>
        <v/>
      </c>
      <c r="R36" s="22" t="str">
        <f aca="false">IF($L36="","",14*((2*Assumptions!$C$23*($N36*(1-$N36)+$N36*(1+Assumptions!$C$13)*(1-$N36*(1+Assumptions!$C$13)))/($N36*Assumptions!$C$13)^2/Assumptions!$C$14)/($M36*Assumptions!$C$24))^(1/Assumptions!$C$16)/7)</f>
        <v/>
      </c>
      <c r="S36" s="23" t="str">
        <f aca="false">IF($L36="","",IF($P36&lt;=Assumptions!$C$9,"Tier 1",IF($P36&lt;=Assumptions!$C$10,"Tier 1 (3-wk)",IF($Q36&lt;=Assumptions!$C$10,"Tier 2",IF($R36&lt;=Assumptions!$C$10,"Tier 3",IF(AND($H36&lt;&gt;"",14*((2*Assumptions!$C$23*(MIN($H36*52/12/$M36,0.95)*(1-MIN($H36*52/12/$M36,0.95))+MIN($H36*52/12/$M36,0.95)*(1+Assumptions!$C$12)*(1-MIN($H36*52/12/$M36,0.95)*(1+Assumptions!$C$12)))/(MIN($H36*52/12/$M36,0.95)*Assumptions!$C$12)^2/Assumptions!$C$14)/($M36*Assumptions!$C$24))^(1/Assumptions!$C$16)/7&lt;=Assumptions!$C$10),"Not a fit — micro-conversion tests only","Not a fit"))))))</f>
        <v/>
      </c>
      <c r="T36" s="18" t="str">
        <f aca="false">IF($S36="","",IF(LEFT($S36,6)="Tier 1","Pursue — trial + fast programme: 5% lifts read in 2–3 weeks",IF($S36="Tier 2","Qualify — bold tests only (10%+ lifts); funnel-wide, 3-week reads",IF($S36="Tier 3","Deprioritise — only exceptional (20%) changes read in 3 weeks",IF($S36="Not a fit","Do not trial A/B — purchase tests cannot read in 3 weeks","Trial only if tests are scored on CTA clicks / leads, not purchases")))))</f>
        <v/>
      </c>
      <c r="U36" s="19" t="str">
        <f aca="false">IF($L36="","",$L36*Assumptions!$C$17*$K36*12/1000000)</f>
        <v/>
      </c>
    </row>
    <row r="37" customFormat="false" ht="15" hidden="false" customHeight="false" outlineLevel="0" collapsed="false">
      <c r="A37" s="14"/>
      <c r="B37" s="14"/>
      <c r="C37" s="15"/>
      <c r="D37" s="15"/>
      <c r="E37" s="16"/>
      <c r="F37" s="16"/>
      <c r="G37" s="17"/>
      <c r="H37" s="15"/>
      <c r="I37" s="14"/>
      <c r="J37" s="18" t="str">
        <f aca="false">IF($C37&lt;&gt;"","Actual orders",IF($E37&lt;&gt;"","Est. from revenue",IF($D37&lt;&gt;"","Est. from traffic × CVR","")))</f>
        <v/>
      </c>
      <c r="K37" s="19" t="n">
        <f aca="false">IF($F37&lt;&gt;"",$F37,IFERROR(INDEX(Assumptions!$D$28:$D$39,MATCH($B37,Assumptions!$B$28:$B$39,0)),Assumptions!$C$19))</f>
        <v>250</v>
      </c>
      <c r="L37" s="20" t="str">
        <f aca="false">IF($C37&lt;&gt;"",$C37/Assumptions!$C$17,IF($E37&lt;&gt;"",$E37*1000000/12/$K37/Assumptions!$C$17,IF($D37&lt;&gt;"",$D37*IF($G37&lt;&gt;"",$G37,IFERROR(INDEX(Assumptions!$C$28:$C$39,MATCH($B37,Assumptions!$B$28:$B$39,0)),Assumptions!$C$18)),"")))</f>
        <v/>
      </c>
      <c r="M37" s="20" t="str">
        <f aca="false">IF($L37="","",IF($D37&lt;&gt;"",$D37,$L37/IF($G37&lt;&gt;"",$G37,IFERROR(INDEX(Assumptions!$C$28:$C$39,MATCH($B37,Assumptions!$B$28:$B$39,0)),Assumptions!$C$18))))</f>
        <v/>
      </c>
      <c r="N37" s="21" t="str">
        <f aca="false">IF($L37="","",MIN($L37/$M37,0.95))</f>
        <v/>
      </c>
      <c r="O37" s="20" t="str">
        <f aca="false">IF($L37="","",$L37*Assumptions!$C$17*12/52)</f>
        <v/>
      </c>
      <c r="P37" s="22" t="str">
        <f aca="false">IF($L37="","",14*((2*Assumptions!$C$23*($N37*(1-$N37)+$N37*(1+Assumptions!$C$11)*(1-$N37*(1+Assumptions!$C$11)))/($N37*Assumptions!$C$11)^2/Assumptions!$C$14)/($M37*Assumptions!$C$24))^(1/Assumptions!$C$16)/7)</f>
        <v/>
      </c>
      <c r="Q37" s="22" t="str">
        <f aca="false">IF($L37="","",14*((2*Assumptions!$C$23*($N37*(1-$N37)+$N37*(1+Assumptions!$C$12)*(1-$N37*(1+Assumptions!$C$12)))/($N37*Assumptions!$C$12)^2/Assumptions!$C$14)/($M37*Assumptions!$C$24))^(1/Assumptions!$C$16)/7)</f>
        <v/>
      </c>
      <c r="R37" s="22" t="str">
        <f aca="false">IF($L37="","",14*((2*Assumptions!$C$23*($N37*(1-$N37)+$N37*(1+Assumptions!$C$13)*(1-$N37*(1+Assumptions!$C$13)))/($N37*Assumptions!$C$13)^2/Assumptions!$C$14)/($M37*Assumptions!$C$24))^(1/Assumptions!$C$16)/7)</f>
        <v/>
      </c>
      <c r="S37" s="23" t="str">
        <f aca="false">IF($L37="","",IF($P37&lt;=Assumptions!$C$9,"Tier 1",IF($P37&lt;=Assumptions!$C$10,"Tier 1 (3-wk)",IF($Q37&lt;=Assumptions!$C$10,"Tier 2",IF($R37&lt;=Assumptions!$C$10,"Tier 3",IF(AND($H37&lt;&gt;"",14*((2*Assumptions!$C$23*(MIN($H37*52/12/$M37,0.95)*(1-MIN($H37*52/12/$M37,0.95))+MIN($H37*52/12/$M37,0.95)*(1+Assumptions!$C$12)*(1-MIN($H37*52/12/$M37,0.95)*(1+Assumptions!$C$12)))/(MIN($H37*52/12/$M37,0.95)*Assumptions!$C$12)^2/Assumptions!$C$14)/($M37*Assumptions!$C$24))^(1/Assumptions!$C$16)/7&lt;=Assumptions!$C$10),"Not a fit — micro-conversion tests only","Not a fit"))))))</f>
        <v/>
      </c>
      <c r="T37" s="18" t="str">
        <f aca="false">IF($S37="","",IF(LEFT($S37,6)="Tier 1","Pursue — trial + fast programme: 5% lifts read in 2–3 weeks",IF($S37="Tier 2","Qualify — bold tests only (10%+ lifts); funnel-wide, 3-week reads",IF($S37="Tier 3","Deprioritise — only exceptional (20%) changes read in 3 weeks",IF($S37="Not a fit","Do not trial A/B — purchase tests cannot read in 3 weeks","Trial only if tests are scored on CTA clicks / leads, not purchases")))))</f>
        <v/>
      </c>
      <c r="U37" s="19" t="str">
        <f aca="false">IF($L37="","",$L37*Assumptions!$C$17*$K37*12/1000000)</f>
        <v/>
      </c>
    </row>
    <row r="38" customFormat="false" ht="15" hidden="false" customHeight="false" outlineLevel="0" collapsed="false">
      <c r="A38" s="14"/>
      <c r="B38" s="14"/>
      <c r="C38" s="15"/>
      <c r="D38" s="15"/>
      <c r="E38" s="16"/>
      <c r="F38" s="16"/>
      <c r="G38" s="17"/>
      <c r="H38" s="15"/>
      <c r="I38" s="14"/>
      <c r="J38" s="18" t="str">
        <f aca="false">IF($C38&lt;&gt;"","Actual orders",IF($E38&lt;&gt;"","Est. from revenue",IF($D38&lt;&gt;"","Est. from traffic × CVR","")))</f>
        <v/>
      </c>
      <c r="K38" s="19" t="n">
        <f aca="false">IF($F38&lt;&gt;"",$F38,IFERROR(INDEX(Assumptions!$D$28:$D$39,MATCH($B38,Assumptions!$B$28:$B$39,0)),Assumptions!$C$19))</f>
        <v>250</v>
      </c>
      <c r="L38" s="20" t="str">
        <f aca="false">IF($C38&lt;&gt;"",$C38/Assumptions!$C$17,IF($E38&lt;&gt;"",$E38*1000000/12/$K38/Assumptions!$C$17,IF($D38&lt;&gt;"",$D38*IF($G38&lt;&gt;"",$G38,IFERROR(INDEX(Assumptions!$C$28:$C$39,MATCH($B38,Assumptions!$B$28:$B$39,0)),Assumptions!$C$18)),"")))</f>
        <v/>
      </c>
      <c r="M38" s="20" t="str">
        <f aca="false">IF($L38="","",IF($D38&lt;&gt;"",$D38,$L38/IF($G38&lt;&gt;"",$G38,IFERROR(INDEX(Assumptions!$C$28:$C$39,MATCH($B38,Assumptions!$B$28:$B$39,0)),Assumptions!$C$18))))</f>
        <v/>
      </c>
      <c r="N38" s="21" t="str">
        <f aca="false">IF($L38="","",MIN($L38/$M38,0.95))</f>
        <v/>
      </c>
      <c r="O38" s="20" t="str">
        <f aca="false">IF($L38="","",$L38*Assumptions!$C$17*12/52)</f>
        <v/>
      </c>
      <c r="P38" s="22" t="str">
        <f aca="false">IF($L38="","",14*((2*Assumptions!$C$23*($N38*(1-$N38)+$N38*(1+Assumptions!$C$11)*(1-$N38*(1+Assumptions!$C$11)))/($N38*Assumptions!$C$11)^2/Assumptions!$C$14)/($M38*Assumptions!$C$24))^(1/Assumptions!$C$16)/7)</f>
        <v/>
      </c>
      <c r="Q38" s="22" t="str">
        <f aca="false">IF($L38="","",14*((2*Assumptions!$C$23*($N38*(1-$N38)+$N38*(1+Assumptions!$C$12)*(1-$N38*(1+Assumptions!$C$12)))/($N38*Assumptions!$C$12)^2/Assumptions!$C$14)/($M38*Assumptions!$C$24))^(1/Assumptions!$C$16)/7)</f>
        <v/>
      </c>
      <c r="R38" s="22" t="str">
        <f aca="false">IF($L38="","",14*((2*Assumptions!$C$23*($N38*(1-$N38)+$N38*(1+Assumptions!$C$13)*(1-$N38*(1+Assumptions!$C$13)))/($N38*Assumptions!$C$13)^2/Assumptions!$C$14)/($M38*Assumptions!$C$24))^(1/Assumptions!$C$16)/7)</f>
        <v/>
      </c>
      <c r="S38" s="23" t="str">
        <f aca="false">IF($L38="","",IF($P38&lt;=Assumptions!$C$9,"Tier 1",IF($P38&lt;=Assumptions!$C$10,"Tier 1 (3-wk)",IF($Q38&lt;=Assumptions!$C$10,"Tier 2",IF($R38&lt;=Assumptions!$C$10,"Tier 3",IF(AND($H38&lt;&gt;"",14*((2*Assumptions!$C$23*(MIN($H38*52/12/$M38,0.95)*(1-MIN($H38*52/12/$M38,0.95))+MIN($H38*52/12/$M38,0.95)*(1+Assumptions!$C$12)*(1-MIN($H38*52/12/$M38,0.95)*(1+Assumptions!$C$12)))/(MIN($H38*52/12/$M38,0.95)*Assumptions!$C$12)^2/Assumptions!$C$14)/($M38*Assumptions!$C$24))^(1/Assumptions!$C$16)/7&lt;=Assumptions!$C$10),"Not a fit — micro-conversion tests only","Not a fit"))))))</f>
        <v/>
      </c>
      <c r="T38" s="18" t="str">
        <f aca="false">IF($S38="","",IF(LEFT($S38,6)="Tier 1","Pursue — trial + fast programme: 5% lifts read in 2–3 weeks",IF($S38="Tier 2","Qualify — bold tests only (10%+ lifts); funnel-wide, 3-week reads",IF($S38="Tier 3","Deprioritise — only exceptional (20%) changes read in 3 weeks",IF($S38="Not a fit","Do not trial A/B — purchase tests cannot read in 3 weeks","Trial only if tests are scored on CTA clicks / leads, not purchases")))))</f>
        <v/>
      </c>
      <c r="U38" s="19" t="str">
        <f aca="false">IF($L38="","",$L38*Assumptions!$C$17*$K38*12/1000000)</f>
        <v/>
      </c>
    </row>
    <row r="39" customFormat="false" ht="15" hidden="false" customHeight="false" outlineLevel="0" collapsed="false">
      <c r="A39" s="14"/>
      <c r="B39" s="14"/>
      <c r="C39" s="15"/>
      <c r="D39" s="15"/>
      <c r="E39" s="16"/>
      <c r="F39" s="16"/>
      <c r="G39" s="17"/>
      <c r="H39" s="15"/>
      <c r="I39" s="14"/>
      <c r="J39" s="18" t="str">
        <f aca="false">IF($C39&lt;&gt;"","Actual orders",IF($E39&lt;&gt;"","Est. from revenue",IF($D39&lt;&gt;"","Est. from traffic × CVR","")))</f>
        <v/>
      </c>
      <c r="K39" s="19" t="n">
        <f aca="false">IF($F39&lt;&gt;"",$F39,IFERROR(INDEX(Assumptions!$D$28:$D$39,MATCH($B39,Assumptions!$B$28:$B$39,0)),Assumptions!$C$19))</f>
        <v>250</v>
      </c>
      <c r="L39" s="20" t="str">
        <f aca="false">IF($C39&lt;&gt;"",$C39/Assumptions!$C$17,IF($E39&lt;&gt;"",$E39*1000000/12/$K39/Assumptions!$C$17,IF($D39&lt;&gt;"",$D39*IF($G39&lt;&gt;"",$G39,IFERROR(INDEX(Assumptions!$C$28:$C$39,MATCH($B39,Assumptions!$B$28:$B$39,0)),Assumptions!$C$18)),"")))</f>
        <v/>
      </c>
      <c r="M39" s="20" t="str">
        <f aca="false">IF($L39="","",IF($D39&lt;&gt;"",$D39,$L39/IF($G39&lt;&gt;"",$G39,IFERROR(INDEX(Assumptions!$C$28:$C$39,MATCH($B39,Assumptions!$B$28:$B$39,0)),Assumptions!$C$18))))</f>
        <v/>
      </c>
      <c r="N39" s="21" t="str">
        <f aca="false">IF($L39="","",MIN($L39/$M39,0.95))</f>
        <v/>
      </c>
      <c r="O39" s="20" t="str">
        <f aca="false">IF($L39="","",$L39*Assumptions!$C$17*12/52)</f>
        <v/>
      </c>
      <c r="P39" s="22" t="str">
        <f aca="false">IF($L39="","",14*((2*Assumptions!$C$23*($N39*(1-$N39)+$N39*(1+Assumptions!$C$11)*(1-$N39*(1+Assumptions!$C$11)))/($N39*Assumptions!$C$11)^2/Assumptions!$C$14)/($M39*Assumptions!$C$24))^(1/Assumptions!$C$16)/7)</f>
        <v/>
      </c>
      <c r="Q39" s="22" t="str">
        <f aca="false">IF($L39="","",14*((2*Assumptions!$C$23*($N39*(1-$N39)+$N39*(1+Assumptions!$C$12)*(1-$N39*(1+Assumptions!$C$12)))/($N39*Assumptions!$C$12)^2/Assumptions!$C$14)/($M39*Assumptions!$C$24))^(1/Assumptions!$C$16)/7)</f>
        <v/>
      </c>
      <c r="R39" s="22" t="str">
        <f aca="false">IF($L39="","",14*((2*Assumptions!$C$23*($N39*(1-$N39)+$N39*(1+Assumptions!$C$13)*(1-$N39*(1+Assumptions!$C$13)))/($N39*Assumptions!$C$13)^2/Assumptions!$C$14)/($M39*Assumptions!$C$24))^(1/Assumptions!$C$16)/7)</f>
        <v/>
      </c>
      <c r="S39" s="23" t="str">
        <f aca="false">IF($L39="","",IF($P39&lt;=Assumptions!$C$9,"Tier 1",IF($P39&lt;=Assumptions!$C$10,"Tier 1 (3-wk)",IF($Q39&lt;=Assumptions!$C$10,"Tier 2",IF($R39&lt;=Assumptions!$C$10,"Tier 3",IF(AND($H39&lt;&gt;"",14*((2*Assumptions!$C$23*(MIN($H39*52/12/$M39,0.95)*(1-MIN($H39*52/12/$M39,0.95))+MIN($H39*52/12/$M39,0.95)*(1+Assumptions!$C$12)*(1-MIN($H39*52/12/$M39,0.95)*(1+Assumptions!$C$12)))/(MIN($H39*52/12/$M39,0.95)*Assumptions!$C$12)^2/Assumptions!$C$14)/($M39*Assumptions!$C$24))^(1/Assumptions!$C$16)/7&lt;=Assumptions!$C$10),"Not a fit — micro-conversion tests only","Not a fit"))))))</f>
        <v/>
      </c>
      <c r="T39" s="18" t="str">
        <f aca="false">IF($S39="","",IF(LEFT($S39,6)="Tier 1","Pursue — trial + fast programme: 5% lifts read in 2–3 weeks",IF($S39="Tier 2","Qualify — bold tests only (10%+ lifts); funnel-wide, 3-week reads",IF($S39="Tier 3","Deprioritise — only exceptional (20%) changes read in 3 weeks",IF($S39="Not a fit","Do not trial A/B — purchase tests cannot read in 3 weeks","Trial only if tests are scored on CTA clicks / leads, not purchases")))))</f>
        <v/>
      </c>
      <c r="U39" s="19" t="str">
        <f aca="false">IF($L39="","",$L39*Assumptions!$C$17*$K39*12/1000000)</f>
        <v/>
      </c>
    </row>
    <row r="40" customFormat="false" ht="15" hidden="false" customHeight="false" outlineLevel="0" collapsed="false">
      <c r="A40" s="14"/>
      <c r="B40" s="14"/>
      <c r="C40" s="15"/>
      <c r="D40" s="15"/>
      <c r="E40" s="16"/>
      <c r="F40" s="16"/>
      <c r="G40" s="17"/>
      <c r="H40" s="15"/>
      <c r="I40" s="14"/>
      <c r="J40" s="18" t="str">
        <f aca="false">IF($C40&lt;&gt;"","Actual orders",IF($E40&lt;&gt;"","Est. from revenue",IF($D40&lt;&gt;"","Est. from traffic × CVR","")))</f>
        <v/>
      </c>
      <c r="K40" s="19" t="n">
        <f aca="false">IF($F40&lt;&gt;"",$F40,IFERROR(INDEX(Assumptions!$D$28:$D$39,MATCH($B40,Assumptions!$B$28:$B$39,0)),Assumptions!$C$19))</f>
        <v>250</v>
      </c>
      <c r="L40" s="20" t="str">
        <f aca="false">IF($C40&lt;&gt;"",$C40/Assumptions!$C$17,IF($E40&lt;&gt;"",$E40*1000000/12/$K40/Assumptions!$C$17,IF($D40&lt;&gt;"",$D40*IF($G40&lt;&gt;"",$G40,IFERROR(INDEX(Assumptions!$C$28:$C$39,MATCH($B40,Assumptions!$B$28:$B$39,0)),Assumptions!$C$18)),"")))</f>
        <v/>
      </c>
      <c r="M40" s="20" t="str">
        <f aca="false">IF($L40="","",IF($D40&lt;&gt;"",$D40,$L40/IF($G40&lt;&gt;"",$G40,IFERROR(INDEX(Assumptions!$C$28:$C$39,MATCH($B40,Assumptions!$B$28:$B$39,0)),Assumptions!$C$18))))</f>
        <v/>
      </c>
      <c r="N40" s="21" t="str">
        <f aca="false">IF($L40="","",MIN($L40/$M40,0.95))</f>
        <v/>
      </c>
      <c r="O40" s="20" t="str">
        <f aca="false">IF($L40="","",$L40*Assumptions!$C$17*12/52)</f>
        <v/>
      </c>
      <c r="P40" s="22" t="str">
        <f aca="false">IF($L40="","",14*((2*Assumptions!$C$23*($N40*(1-$N40)+$N40*(1+Assumptions!$C$11)*(1-$N40*(1+Assumptions!$C$11)))/($N40*Assumptions!$C$11)^2/Assumptions!$C$14)/($M40*Assumptions!$C$24))^(1/Assumptions!$C$16)/7)</f>
        <v/>
      </c>
      <c r="Q40" s="22" t="str">
        <f aca="false">IF($L40="","",14*((2*Assumptions!$C$23*($N40*(1-$N40)+$N40*(1+Assumptions!$C$12)*(1-$N40*(1+Assumptions!$C$12)))/($N40*Assumptions!$C$12)^2/Assumptions!$C$14)/($M40*Assumptions!$C$24))^(1/Assumptions!$C$16)/7)</f>
        <v/>
      </c>
      <c r="R40" s="22" t="str">
        <f aca="false">IF($L40="","",14*((2*Assumptions!$C$23*($N40*(1-$N40)+$N40*(1+Assumptions!$C$13)*(1-$N40*(1+Assumptions!$C$13)))/($N40*Assumptions!$C$13)^2/Assumptions!$C$14)/($M40*Assumptions!$C$24))^(1/Assumptions!$C$16)/7)</f>
        <v/>
      </c>
      <c r="S40" s="23" t="str">
        <f aca="false">IF($L40="","",IF($P40&lt;=Assumptions!$C$9,"Tier 1",IF($P40&lt;=Assumptions!$C$10,"Tier 1 (3-wk)",IF($Q40&lt;=Assumptions!$C$10,"Tier 2",IF($R40&lt;=Assumptions!$C$10,"Tier 3",IF(AND($H40&lt;&gt;"",14*((2*Assumptions!$C$23*(MIN($H40*52/12/$M40,0.95)*(1-MIN($H40*52/12/$M40,0.95))+MIN($H40*52/12/$M40,0.95)*(1+Assumptions!$C$12)*(1-MIN($H40*52/12/$M40,0.95)*(1+Assumptions!$C$12)))/(MIN($H40*52/12/$M40,0.95)*Assumptions!$C$12)^2/Assumptions!$C$14)/($M40*Assumptions!$C$24))^(1/Assumptions!$C$16)/7&lt;=Assumptions!$C$10),"Not a fit — micro-conversion tests only","Not a fit"))))))</f>
        <v/>
      </c>
      <c r="T40" s="18" t="str">
        <f aca="false">IF($S40="","",IF(LEFT($S40,6)="Tier 1","Pursue — trial + fast programme: 5% lifts read in 2–3 weeks",IF($S40="Tier 2","Qualify — bold tests only (10%+ lifts); funnel-wide, 3-week reads",IF($S40="Tier 3","Deprioritise — only exceptional (20%) changes read in 3 weeks",IF($S40="Not a fit","Do not trial A/B — purchase tests cannot read in 3 weeks","Trial only if tests are scored on CTA clicks / leads, not purchases")))))</f>
        <v/>
      </c>
      <c r="U40" s="19" t="str">
        <f aca="false">IF($L40="","",$L40*Assumptions!$C$17*$K40*12/1000000)</f>
        <v/>
      </c>
    </row>
    <row r="41" customFormat="false" ht="15" hidden="false" customHeight="false" outlineLevel="0" collapsed="false">
      <c r="A41" s="14"/>
      <c r="B41" s="14"/>
      <c r="C41" s="15"/>
      <c r="D41" s="15"/>
      <c r="E41" s="16"/>
      <c r="F41" s="16"/>
      <c r="G41" s="17"/>
      <c r="H41" s="15"/>
      <c r="I41" s="14"/>
      <c r="J41" s="18" t="str">
        <f aca="false">IF($C41&lt;&gt;"","Actual orders",IF($E41&lt;&gt;"","Est. from revenue",IF($D41&lt;&gt;"","Est. from traffic × CVR","")))</f>
        <v/>
      </c>
      <c r="K41" s="19" t="n">
        <f aca="false">IF($F41&lt;&gt;"",$F41,IFERROR(INDEX(Assumptions!$D$28:$D$39,MATCH($B41,Assumptions!$B$28:$B$39,0)),Assumptions!$C$19))</f>
        <v>250</v>
      </c>
      <c r="L41" s="20" t="str">
        <f aca="false">IF($C41&lt;&gt;"",$C41/Assumptions!$C$17,IF($E41&lt;&gt;"",$E41*1000000/12/$K41/Assumptions!$C$17,IF($D41&lt;&gt;"",$D41*IF($G41&lt;&gt;"",$G41,IFERROR(INDEX(Assumptions!$C$28:$C$39,MATCH($B41,Assumptions!$B$28:$B$39,0)),Assumptions!$C$18)),"")))</f>
        <v/>
      </c>
      <c r="M41" s="20" t="str">
        <f aca="false">IF($L41="","",IF($D41&lt;&gt;"",$D41,$L41/IF($G41&lt;&gt;"",$G41,IFERROR(INDEX(Assumptions!$C$28:$C$39,MATCH($B41,Assumptions!$B$28:$B$39,0)),Assumptions!$C$18))))</f>
        <v/>
      </c>
      <c r="N41" s="21" t="str">
        <f aca="false">IF($L41="","",MIN($L41/$M41,0.95))</f>
        <v/>
      </c>
      <c r="O41" s="20" t="str">
        <f aca="false">IF($L41="","",$L41*Assumptions!$C$17*12/52)</f>
        <v/>
      </c>
      <c r="P41" s="22" t="str">
        <f aca="false">IF($L41="","",14*((2*Assumptions!$C$23*($N41*(1-$N41)+$N41*(1+Assumptions!$C$11)*(1-$N41*(1+Assumptions!$C$11)))/($N41*Assumptions!$C$11)^2/Assumptions!$C$14)/($M41*Assumptions!$C$24))^(1/Assumptions!$C$16)/7)</f>
        <v/>
      </c>
      <c r="Q41" s="22" t="str">
        <f aca="false">IF($L41="","",14*((2*Assumptions!$C$23*($N41*(1-$N41)+$N41*(1+Assumptions!$C$12)*(1-$N41*(1+Assumptions!$C$12)))/($N41*Assumptions!$C$12)^2/Assumptions!$C$14)/($M41*Assumptions!$C$24))^(1/Assumptions!$C$16)/7)</f>
        <v/>
      </c>
      <c r="R41" s="22" t="str">
        <f aca="false">IF($L41="","",14*((2*Assumptions!$C$23*($N41*(1-$N41)+$N41*(1+Assumptions!$C$13)*(1-$N41*(1+Assumptions!$C$13)))/($N41*Assumptions!$C$13)^2/Assumptions!$C$14)/($M41*Assumptions!$C$24))^(1/Assumptions!$C$16)/7)</f>
        <v/>
      </c>
      <c r="S41" s="23" t="str">
        <f aca="false">IF($L41="","",IF($P41&lt;=Assumptions!$C$9,"Tier 1",IF($P41&lt;=Assumptions!$C$10,"Tier 1 (3-wk)",IF($Q41&lt;=Assumptions!$C$10,"Tier 2",IF($R41&lt;=Assumptions!$C$10,"Tier 3",IF(AND($H41&lt;&gt;"",14*((2*Assumptions!$C$23*(MIN($H41*52/12/$M41,0.95)*(1-MIN($H41*52/12/$M41,0.95))+MIN($H41*52/12/$M41,0.95)*(1+Assumptions!$C$12)*(1-MIN($H41*52/12/$M41,0.95)*(1+Assumptions!$C$12)))/(MIN($H41*52/12/$M41,0.95)*Assumptions!$C$12)^2/Assumptions!$C$14)/($M41*Assumptions!$C$24))^(1/Assumptions!$C$16)/7&lt;=Assumptions!$C$10),"Not a fit — micro-conversion tests only","Not a fit"))))))</f>
        <v/>
      </c>
      <c r="T41" s="18" t="str">
        <f aca="false">IF($S41="","",IF(LEFT($S41,6)="Tier 1","Pursue — trial + fast programme: 5% lifts read in 2–3 weeks",IF($S41="Tier 2","Qualify — bold tests only (10%+ lifts); funnel-wide, 3-week reads",IF($S41="Tier 3","Deprioritise — only exceptional (20%) changes read in 3 weeks",IF($S41="Not a fit","Do not trial A/B — purchase tests cannot read in 3 weeks","Trial only if tests are scored on CTA clicks / leads, not purchases")))))</f>
        <v/>
      </c>
      <c r="U41" s="19" t="str">
        <f aca="false">IF($L41="","",$L41*Assumptions!$C$17*$K41*12/1000000)</f>
        <v/>
      </c>
    </row>
    <row r="42" customFormat="false" ht="15" hidden="false" customHeight="false" outlineLevel="0" collapsed="false">
      <c r="A42" s="14"/>
      <c r="B42" s="14"/>
      <c r="C42" s="15"/>
      <c r="D42" s="15"/>
      <c r="E42" s="16"/>
      <c r="F42" s="16"/>
      <c r="G42" s="17"/>
      <c r="H42" s="15"/>
      <c r="I42" s="14"/>
      <c r="J42" s="18" t="str">
        <f aca="false">IF($C42&lt;&gt;"","Actual orders",IF($E42&lt;&gt;"","Est. from revenue",IF($D42&lt;&gt;"","Est. from traffic × CVR","")))</f>
        <v/>
      </c>
      <c r="K42" s="19" t="n">
        <f aca="false">IF($F42&lt;&gt;"",$F42,IFERROR(INDEX(Assumptions!$D$28:$D$39,MATCH($B42,Assumptions!$B$28:$B$39,0)),Assumptions!$C$19))</f>
        <v>250</v>
      </c>
      <c r="L42" s="20" t="str">
        <f aca="false">IF($C42&lt;&gt;"",$C42/Assumptions!$C$17,IF($E42&lt;&gt;"",$E42*1000000/12/$K42/Assumptions!$C$17,IF($D42&lt;&gt;"",$D42*IF($G42&lt;&gt;"",$G42,IFERROR(INDEX(Assumptions!$C$28:$C$39,MATCH($B42,Assumptions!$B$28:$B$39,0)),Assumptions!$C$18)),"")))</f>
        <v/>
      </c>
      <c r="M42" s="20" t="str">
        <f aca="false">IF($L42="","",IF($D42&lt;&gt;"",$D42,$L42/IF($G42&lt;&gt;"",$G42,IFERROR(INDEX(Assumptions!$C$28:$C$39,MATCH($B42,Assumptions!$B$28:$B$39,0)),Assumptions!$C$18))))</f>
        <v/>
      </c>
      <c r="N42" s="21" t="str">
        <f aca="false">IF($L42="","",MIN($L42/$M42,0.95))</f>
        <v/>
      </c>
      <c r="O42" s="20" t="str">
        <f aca="false">IF($L42="","",$L42*Assumptions!$C$17*12/52)</f>
        <v/>
      </c>
      <c r="P42" s="22" t="str">
        <f aca="false">IF($L42="","",14*((2*Assumptions!$C$23*($N42*(1-$N42)+$N42*(1+Assumptions!$C$11)*(1-$N42*(1+Assumptions!$C$11)))/($N42*Assumptions!$C$11)^2/Assumptions!$C$14)/($M42*Assumptions!$C$24))^(1/Assumptions!$C$16)/7)</f>
        <v/>
      </c>
      <c r="Q42" s="22" t="str">
        <f aca="false">IF($L42="","",14*((2*Assumptions!$C$23*($N42*(1-$N42)+$N42*(1+Assumptions!$C$12)*(1-$N42*(1+Assumptions!$C$12)))/($N42*Assumptions!$C$12)^2/Assumptions!$C$14)/($M42*Assumptions!$C$24))^(1/Assumptions!$C$16)/7)</f>
        <v/>
      </c>
      <c r="R42" s="22" t="str">
        <f aca="false">IF($L42="","",14*((2*Assumptions!$C$23*($N42*(1-$N42)+$N42*(1+Assumptions!$C$13)*(1-$N42*(1+Assumptions!$C$13)))/($N42*Assumptions!$C$13)^2/Assumptions!$C$14)/($M42*Assumptions!$C$24))^(1/Assumptions!$C$16)/7)</f>
        <v/>
      </c>
      <c r="S42" s="23" t="str">
        <f aca="false">IF($L42="","",IF($P42&lt;=Assumptions!$C$9,"Tier 1",IF($P42&lt;=Assumptions!$C$10,"Tier 1 (3-wk)",IF($Q42&lt;=Assumptions!$C$10,"Tier 2",IF($R42&lt;=Assumptions!$C$10,"Tier 3",IF(AND($H42&lt;&gt;"",14*((2*Assumptions!$C$23*(MIN($H42*52/12/$M42,0.95)*(1-MIN($H42*52/12/$M42,0.95))+MIN($H42*52/12/$M42,0.95)*(1+Assumptions!$C$12)*(1-MIN($H42*52/12/$M42,0.95)*(1+Assumptions!$C$12)))/(MIN($H42*52/12/$M42,0.95)*Assumptions!$C$12)^2/Assumptions!$C$14)/($M42*Assumptions!$C$24))^(1/Assumptions!$C$16)/7&lt;=Assumptions!$C$10),"Not a fit — micro-conversion tests only","Not a fit"))))))</f>
        <v/>
      </c>
      <c r="T42" s="18" t="str">
        <f aca="false">IF($S42="","",IF(LEFT($S42,6)="Tier 1","Pursue — trial + fast programme: 5% lifts read in 2–3 weeks",IF($S42="Tier 2","Qualify — bold tests only (10%+ lifts); funnel-wide, 3-week reads",IF($S42="Tier 3","Deprioritise — only exceptional (20%) changes read in 3 weeks",IF($S42="Not a fit","Do not trial A/B — purchase tests cannot read in 3 weeks","Trial only if tests are scored on CTA clicks / leads, not purchases")))))</f>
        <v/>
      </c>
      <c r="U42" s="19" t="str">
        <f aca="false">IF($L42="","",$L42*Assumptions!$C$17*$K42*12/1000000)</f>
        <v/>
      </c>
    </row>
    <row r="43" customFormat="false" ht="15" hidden="false" customHeight="false" outlineLevel="0" collapsed="false">
      <c r="A43" s="14"/>
      <c r="B43" s="14"/>
      <c r="C43" s="15"/>
      <c r="D43" s="15"/>
      <c r="E43" s="16"/>
      <c r="F43" s="16"/>
      <c r="G43" s="17"/>
      <c r="H43" s="15"/>
      <c r="I43" s="14"/>
      <c r="J43" s="18" t="str">
        <f aca="false">IF($C43&lt;&gt;"","Actual orders",IF($E43&lt;&gt;"","Est. from revenue",IF($D43&lt;&gt;"","Est. from traffic × CVR","")))</f>
        <v/>
      </c>
      <c r="K43" s="19" t="n">
        <f aca="false">IF($F43&lt;&gt;"",$F43,IFERROR(INDEX(Assumptions!$D$28:$D$39,MATCH($B43,Assumptions!$B$28:$B$39,0)),Assumptions!$C$19))</f>
        <v>250</v>
      </c>
      <c r="L43" s="20" t="str">
        <f aca="false">IF($C43&lt;&gt;"",$C43/Assumptions!$C$17,IF($E43&lt;&gt;"",$E43*1000000/12/$K43/Assumptions!$C$17,IF($D43&lt;&gt;"",$D43*IF($G43&lt;&gt;"",$G43,IFERROR(INDEX(Assumptions!$C$28:$C$39,MATCH($B43,Assumptions!$B$28:$B$39,0)),Assumptions!$C$18)),"")))</f>
        <v/>
      </c>
      <c r="M43" s="20" t="str">
        <f aca="false">IF($L43="","",IF($D43&lt;&gt;"",$D43,$L43/IF($G43&lt;&gt;"",$G43,IFERROR(INDEX(Assumptions!$C$28:$C$39,MATCH($B43,Assumptions!$B$28:$B$39,0)),Assumptions!$C$18))))</f>
        <v/>
      </c>
      <c r="N43" s="21" t="str">
        <f aca="false">IF($L43="","",MIN($L43/$M43,0.95))</f>
        <v/>
      </c>
      <c r="O43" s="20" t="str">
        <f aca="false">IF($L43="","",$L43*Assumptions!$C$17*12/52)</f>
        <v/>
      </c>
      <c r="P43" s="22" t="str">
        <f aca="false">IF($L43="","",14*((2*Assumptions!$C$23*($N43*(1-$N43)+$N43*(1+Assumptions!$C$11)*(1-$N43*(1+Assumptions!$C$11)))/($N43*Assumptions!$C$11)^2/Assumptions!$C$14)/($M43*Assumptions!$C$24))^(1/Assumptions!$C$16)/7)</f>
        <v/>
      </c>
      <c r="Q43" s="22" t="str">
        <f aca="false">IF($L43="","",14*((2*Assumptions!$C$23*($N43*(1-$N43)+$N43*(1+Assumptions!$C$12)*(1-$N43*(1+Assumptions!$C$12)))/($N43*Assumptions!$C$12)^2/Assumptions!$C$14)/($M43*Assumptions!$C$24))^(1/Assumptions!$C$16)/7)</f>
        <v/>
      </c>
      <c r="R43" s="22" t="str">
        <f aca="false">IF($L43="","",14*((2*Assumptions!$C$23*($N43*(1-$N43)+$N43*(1+Assumptions!$C$13)*(1-$N43*(1+Assumptions!$C$13)))/($N43*Assumptions!$C$13)^2/Assumptions!$C$14)/($M43*Assumptions!$C$24))^(1/Assumptions!$C$16)/7)</f>
        <v/>
      </c>
      <c r="S43" s="23" t="str">
        <f aca="false">IF($L43="","",IF($P43&lt;=Assumptions!$C$9,"Tier 1",IF($P43&lt;=Assumptions!$C$10,"Tier 1 (3-wk)",IF($Q43&lt;=Assumptions!$C$10,"Tier 2",IF($R43&lt;=Assumptions!$C$10,"Tier 3",IF(AND($H43&lt;&gt;"",14*((2*Assumptions!$C$23*(MIN($H43*52/12/$M43,0.95)*(1-MIN($H43*52/12/$M43,0.95))+MIN($H43*52/12/$M43,0.95)*(1+Assumptions!$C$12)*(1-MIN($H43*52/12/$M43,0.95)*(1+Assumptions!$C$12)))/(MIN($H43*52/12/$M43,0.95)*Assumptions!$C$12)^2/Assumptions!$C$14)/($M43*Assumptions!$C$24))^(1/Assumptions!$C$16)/7&lt;=Assumptions!$C$10),"Not a fit — micro-conversion tests only","Not a fit"))))))</f>
        <v/>
      </c>
      <c r="T43" s="18" t="str">
        <f aca="false">IF($S43="","",IF(LEFT($S43,6)="Tier 1","Pursue — trial + fast programme: 5% lifts read in 2–3 weeks",IF($S43="Tier 2","Qualify — bold tests only (10%+ lifts); funnel-wide, 3-week reads",IF($S43="Tier 3","Deprioritise — only exceptional (20%) changes read in 3 weeks",IF($S43="Not a fit","Do not trial A/B — purchase tests cannot read in 3 weeks","Trial only if tests are scored on CTA clicks / leads, not purchases")))))</f>
        <v/>
      </c>
      <c r="U43" s="19" t="str">
        <f aca="false">IF($L43="","",$L43*Assumptions!$C$17*$K43*12/1000000)</f>
        <v/>
      </c>
    </row>
    <row r="44" customFormat="false" ht="15" hidden="false" customHeight="false" outlineLevel="0" collapsed="false">
      <c r="A44" s="14"/>
      <c r="B44" s="14"/>
      <c r="C44" s="15"/>
      <c r="D44" s="15"/>
      <c r="E44" s="16"/>
      <c r="F44" s="16"/>
      <c r="G44" s="17"/>
      <c r="H44" s="15"/>
      <c r="I44" s="14"/>
      <c r="J44" s="18" t="str">
        <f aca="false">IF($C44&lt;&gt;"","Actual orders",IF($E44&lt;&gt;"","Est. from revenue",IF($D44&lt;&gt;"","Est. from traffic × CVR","")))</f>
        <v/>
      </c>
      <c r="K44" s="19" t="n">
        <f aca="false">IF($F44&lt;&gt;"",$F44,IFERROR(INDEX(Assumptions!$D$28:$D$39,MATCH($B44,Assumptions!$B$28:$B$39,0)),Assumptions!$C$19))</f>
        <v>250</v>
      </c>
      <c r="L44" s="20" t="str">
        <f aca="false">IF($C44&lt;&gt;"",$C44/Assumptions!$C$17,IF($E44&lt;&gt;"",$E44*1000000/12/$K44/Assumptions!$C$17,IF($D44&lt;&gt;"",$D44*IF($G44&lt;&gt;"",$G44,IFERROR(INDEX(Assumptions!$C$28:$C$39,MATCH($B44,Assumptions!$B$28:$B$39,0)),Assumptions!$C$18)),"")))</f>
        <v/>
      </c>
      <c r="M44" s="20" t="str">
        <f aca="false">IF($L44="","",IF($D44&lt;&gt;"",$D44,$L44/IF($G44&lt;&gt;"",$G44,IFERROR(INDEX(Assumptions!$C$28:$C$39,MATCH($B44,Assumptions!$B$28:$B$39,0)),Assumptions!$C$18))))</f>
        <v/>
      </c>
      <c r="N44" s="21" t="str">
        <f aca="false">IF($L44="","",MIN($L44/$M44,0.95))</f>
        <v/>
      </c>
      <c r="O44" s="20" t="str">
        <f aca="false">IF($L44="","",$L44*Assumptions!$C$17*12/52)</f>
        <v/>
      </c>
      <c r="P44" s="22" t="str">
        <f aca="false">IF($L44="","",14*((2*Assumptions!$C$23*($N44*(1-$N44)+$N44*(1+Assumptions!$C$11)*(1-$N44*(1+Assumptions!$C$11)))/($N44*Assumptions!$C$11)^2/Assumptions!$C$14)/($M44*Assumptions!$C$24))^(1/Assumptions!$C$16)/7)</f>
        <v/>
      </c>
      <c r="Q44" s="22" t="str">
        <f aca="false">IF($L44="","",14*((2*Assumptions!$C$23*($N44*(1-$N44)+$N44*(1+Assumptions!$C$12)*(1-$N44*(1+Assumptions!$C$12)))/($N44*Assumptions!$C$12)^2/Assumptions!$C$14)/($M44*Assumptions!$C$24))^(1/Assumptions!$C$16)/7)</f>
        <v/>
      </c>
      <c r="R44" s="22" t="str">
        <f aca="false">IF($L44="","",14*((2*Assumptions!$C$23*($N44*(1-$N44)+$N44*(1+Assumptions!$C$13)*(1-$N44*(1+Assumptions!$C$13)))/($N44*Assumptions!$C$13)^2/Assumptions!$C$14)/($M44*Assumptions!$C$24))^(1/Assumptions!$C$16)/7)</f>
        <v/>
      </c>
      <c r="S44" s="23" t="str">
        <f aca="false">IF($L44="","",IF($P44&lt;=Assumptions!$C$9,"Tier 1",IF($P44&lt;=Assumptions!$C$10,"Tier 1 (3-wk)",IF($Q44&lt;=Assumptions!$C$10,"Tier 2",IF($R44&lt;=Assumptions!$C$10,"Tier 3",IF(AND($H44&lt;&gt;"",14*((2*Assumptions!$C$23*(MIN($H44*52/12/$M44,0.95)*(1-MIN($H44*52/12/$M44,0.95))+MIN($H44*52/12/$M44,0.95)*(1+Assumptions!$C$12)*(1-MIN($H44*52/12/$M44,0.95)*(1+Assumptions!$C$12)))/(MIN($H44*52/12/$M44,0.95)*Assumptions!$C$12)^2/Assumptions!$C$14)/($M44*Assumptions!$C$24))^(1/Assumptions!$C$16)/7&lt;=Assumptions!$C$10),"Not a fit — micro-conversion tests only","Not a fit"))))))</f>
        <v/>
      </c>
      <c r="T44" s="18" t="str">
        <f aca="false">IF($S44="","",IF(LEFT($S44,6)="Tier 1","Pursue — trial + fast programme: 5% lifts read in 2–3 weeks",IF($S44="Tier 2","Qualify — bold tests only (10%+ lifts); funnel-wide, 3-week reads",IF($S44="Tier 3","Deprioritise — only exceptional (20%) changes read in 3 weeks",IF($S44="Not a fit","Do not trial A/B — purchase tests cannot read in 3 weeks","Trial only if tests are scored on CTA clicks / leads, not purchases")))))</f>
        <v/>
      </c>
      <c r="U44" s="19" t="str">
        <f aca="false">IF($L44="","",$L44*Assumptions!$C$17*$K44*12/1000000)</f>
        <v/>
      </c>
    </row>
    <row r="45" customFormat="false" ht="15" hidden="false" customHeight="false" outlineLevel="0" collapsed="false">
      <c r="A45" s="14"/>
      <c r="B45" s="14"/>
      <c r="C45" s="15"/>
      <c r="D45" s="15"/>
      <c r="E45" s="16"/>
      <c r="F45" s="16"/>
      <c r="G45" s="17"/>
      <c r="H45" s="15"/>
      <c r="I45" s="14"/>
      <c r="J45" s="18" t="str">
        <f aca="false">IF($C45&lt;&gt;"","Actual orders",IF($E45&lt;&gt;"","Est. from revenue",IF($D45&lt;&gt;"","Est. from traffic × CVR","")))</f>
        <v/>
      </c>
      <c r="K45" s="19" t="n">
        <f aca="false">IF($F45&lt;&gt;"",$F45,IFERROR(INDEX(Assumptions!$D$28:$D$39,MATCH($B45,Assumptions!$B$28:$B$39,0)),Assumptions!$C$19))</f>
        <v>250</v>
      </c>
      <c r="L45" s="20" t="str">
        <f aca="false">IF($C45&lt;&gt;"",$C45/Assumptions!$C$17,IF($E45&lt;&gt;"",$E45*1000000/12/$K45/Assumptions!$C$17,IF($D45&lt;&gt;"",$D45*IF($G45&lt;&gt;"",$G45,IFERROR(INDEX(Assumptions!$C$28:$C$39,MATCH($B45,Assumptions!$B$28:$B$39,0)),Assumptions!$C$18)),"")))</f>
        <v/>
      </c>
      <c r="M45" s="20" t="str">
        <f aca="false">IF($L45="","",IF($D45&lt;&gt;"",$D45,$L45/IF($G45&lt;&gt;"",$G45,IFERROR(INDEX(Assumptions!$C$28:$C$39,MATCH($B45,Assumptions!$B$28:$B$39,0)),Assumptions!$C$18))))</f>
        <v/>
      </c>
      <c r="N45" s="21" t="str">
        <f aca="false">IF($L45="","",MIN($L45/$M45,0.95))</f>
        <v/>
      </c>
      <c r="O45" s="20" t="str">
        <f aca="false">IF($L45="","",$L45*Assumptions!$C$17*12/52)</f>
        <v/>
      </c>
      <c r="P45" s="22" t="str">
        <f aca="false">IF($L45="","",14*((2*Assumptions!$C$23*($N45*(1-$N45)+$N45*(1+Assumptions!$C$11)*(1-$N45*(1+Assumptions!$C$11)))/($N45*Assumptions!$C$11)^2/Assumptions!$C$14)/($M45*Assumptions!$C$24))^(1/Assumptions!$C$16)/7)</f>
        <v/>
      </c>
      <c r="Q45" s="22" t="str">
        <f aca="false">IF($L45="","",14*((2*Assumptions!$C$23*($N45*(1-$N45)+$N45*(1+Assumptions!$C$12)*(1-$N45*(1+Assumptions!$C$12)))/($N45*Assumptions!$C$12)^2/Assumptions!$C$14)/($M45*Assumptions!$C$24))^(1/Assumptions!$C$16)/7)</f>
        <v/>
      </c>
      <c r="R45" s="22" t="str">
        <f aca="false">IF($L45="","",14*((2*Assumptions!$C$23*($N45*(1-$N45)+$N45*(1+Assumptions!$C$13)*(1-$N45*(1+Assumptions!$C$13)))/($N45*Assumptions!$C$13)^2/Assumptions!$C$14)/($M45*Assumptions!$C$24))^(1/Assumptions!$C$16)/7)</f>
        <v/>
      </c>
      <c r="S45" s="23" t="str">
        <f aca="false">IF($L45="","",IF($P45&lt;=Assumptions!$C$9,"Tier 1",IF($P45&lt;=Assumptions!$C$10,"Tier 1 (3-wk)",IF($Q45&lt;=Assumptions!$C$10,"Tier 2",IF($R45&lt;=Assumptions!$C$10,"Tier 3",IF(AND($H45&lt;&gt;"",14*((2*Assumptions!$C$23*(MIN($H45*52/12/$M45,0.95)*(1-MIN($H45*52/12/$M45,0.95))+MIN($H45*52/12/$M45,0.95)*(1+Assumptions!$C$12)*(1-MIN($H45*52/12/$M45,0.95)*(1+Assumptions!$C$12)))/(MIN($H45*52/12/$M45,0.95)*Assumptions!$C$12)^2/Assumptions!$C$14)/($M45*Assumptions!$C$24))^(1/Assumptions!$C$16)/7&lt;=Assumptions!$C$10),"Not a fit — micro-conversion tests only","Not a fit"))))))</f>
        <v/>
      </c>
      <c r="T45" s="18" t="str">
        <f aca="false">IF($S45="","",IF(LEFT($S45,6)="Tier 1","Pursue — trial + fast programme: 5% lifts read in 2–3 weeks",IF($S45="Tier 2","Qualify — bold tests only (10%+ lifts); funnel-wide, 3-week reads",IF($S45="Tier 3","Deprioritise — only exceptional (20%) changes read in 3 weeks",IF($S45="Not a fit","Do not trial A/B — purchase tests cannot read in 3 weeks","Trial only if tests are scored on CTA clicks / leads, not purchases")))))</f>
        <v/>
      </c>
      <c r="U45" s="19" t="str">
        <f aca="false">IF($L45="","",$L45*Assumptions!$C$17*$K45*12/1000000)</f>
        <v/>
      </c>
    </row>
    <row r="46" customFormat="false" ht="15" hidden="false" customHeight="false" outlineLevel="0" collapsed="false">
      <c r="A46" s="14"/>
      <c r="B46" s="14"/>
      <c r="C46" s="15"/>
      <c r="D46" s="15"/>
      <c r="E46" s="16"/>
      <c r="F46" s="16"/>
      <c r="G46" s="17"/>
      <c r="H46" s="15"/>
      <c r="I46" s="14"/>
      <c r="J46" s="18" t="str">
        <f aca="false">IF($C46&lt;&gt;"","Actual orders",IF($E46&lt;&gt;"","Est. from revenue",IF($D46&lt;&gt;"","Est. from traffic × CVR","")))</f>
        <v/>
      </c>
      <c r="K46" s="19" t="n">
        <f aca="false">IF($F46&lt;&gt;"",$F46,IFERROR(INDEX(Assumptions!$D$28:$D$39,MATCH($B46,Assumptions!$B$28:$B$39,0)),Assumptions!$C$19))</f>
        <v>250</v>
      </c>
      <c r="L46" s="20" t="str">
        <f aca="false">IF($C46&lt;&gt;"",$C46/Assumptions!$C$17,IF($E46&lt;&gt;"",$E46*1000000/12/$K46/Assumptions!$C$17,IF($D46&lt;&gt;"",$D46*IF($G46&lt;&gt;"",$G46,IFERROR(INDEX(Assumptions!$C$28:$C$39,MATCH($B46,Assumptions!$B$28:$B$39,0)),Assumptions!$C$18)),"")))</f>
        <v/>
      </c>
      <c r="M46" s="20" t="str">
        <f aca="false">IF($L46="","",IF($D46&lt;&gt;"",$D46,$L46/IF($G46&lt;&gt;"",$G46,IFERROR(INDEX(Assumptions!$C$28:$C$39,MATCH($B46,Assumptions!$B$28:$B$39,0)),Assumptions!$C$18))))</f>
        <v/>
      </c>
      <c r="N46" s="21" t="str">
        <f aca="false">IF($L46="","",MIN($L46/$M46,0.95))</f>
        <v/>
      </c>
      <c r="O46" s="20" t="str">
        <f aca="false">IF($L46="","",$L46*Assumptions!$C$17*12/52)</f>
        <v/>
      </c>
      <c r="P46" s="22" t="str">
        <f aca="false">IF($L46="","",14*((2*Assumptions!$C$23*($N46*(1-$N46)+$N46*(1+Assumptions!$C$11)*(1-$N46*(1+Assumptions!$C$11)))/($N46*Assumptions!$C$11)^2/Assumptions!$C$14)/($M46*Assumptions!$C$24))^(1/Assumptions!$C$16)/7)</f>
        <v/>
      </c>
      <c r="Q46" s="22" t="str">
        <f aca="false">IF($L46="","",14*((2*Assumptions!$C$23*($N46*(1-$N46)+$N46*(1+Assumptions!$C$12)*(1-$N46*(1+Assumptions!$C$12)))/($N46*Assumptions!$C$12)^2/Assumptions!$C$14)/($M46*Assumptions!$C$24))^(1/Assumptions!$C$16)/7)</f>
        <v/>
      </c>
      <c r="R46" s="22" t="str">
        <f aca="false">IF($L46="","",14*((2*Assumptions!$C$23*($N46*(1-$N46)+$N46*(1+Assumptions!$C$13)*(1-$N46*(1+Assumptions!$C$13)))/($N46*Assumptions!$C$13)^2/Assumptions!$C$14)/($M46*Assumptions!$C$24))^(1/Assumptions!$C$16)/7)</f>
        <v/>
      </c>
      <c r="S46" s="23" t="str">
        <f aca="false">IF($L46="","",IF($P46&lt;=Assumptions!$C$9,"Tier 1",IF($P46&lt;=Assumptions!$C$10,"Tier 1 (3-wk)",IF($Q46&lt;=Assumptions!$C$10,"Tier 2",IF($R46&lt;=Assumptions!$C$10,"Tier 3",IF(AND($H46&lt;&gt;"",14*((2*Assumptions!$C$23*(MIN($H46*52/12/$M46,0.95)*(1-MIN($H46*52/12/$M46,0.95))+MIN($H46*52/12/$M46,0.95)*(1+Assumptions!$C$12)*(1-MIN($H46*52/12/$M46,0.95)*(1+Assumptions!$C$12)))/(MIN($H46*52/12/$M46,0.95)*Assumptions!$C$12)^2/Assumptions!$C$14)/($M46*Assumptions!$C$24))^(1/Assumptions!$C$16)/7&lt;=Assumptions!$C$10),"Not a fit — micro-conversion tests only","Not a fit"))))))</f>
        <v/>
      </c>
      <c r="T46" s="18" t="str">
        <f aca="false">IF($S46="","",IF(LEFT($S46,6)="Tier 1","Pursue — trial + fast programme: 5% lifts read in 2–3 weeks",IF($S46="Tier 2","Qualify — bold tests only (10%+ lifts); funnel-wide, 3-week reads",IF($S46="Tier 3","Deprioritise — only exceptional (20%) changes read in 3 weeks",IF($S46="Not a fit","Do not trial A/B — purchase tests cannot read in 3 weeks","Trial only if tests are scored on CTA clicks / leads, not purchases")))))</f>
        <v/>
      </c>
      <c r="U46" s="19" t="str">
        <f aca="false">IF($L46="","",$L46*Assumptions!$C$17*$K46*12/1000000)</f>
        <v/>
      </c>
    </row>
    <row r="47" customFormat="false" ht="15" hidden="false" customHeight="false" outlineLevel="0" collapsed="false">
      <c r="A47" s="14"/>
      <c r="B47" s="14"/>
      <c r="C47" s="15"/>
      <c r="D47" s="15"/>
      <c r="E47" s="16"/>
      <c r="F47" s="16"/>
      <c r="G47" s="17"/>
      <c r="H47" s="15"/>
      <c r="I47" s="14"/>
      <c r="J47" s="18" t="str">
        <f aca="false">IF($C47&lt;&gt;"","Actual orders",IF($E47&lt;&gt;"","Est. from revenue",IF($D47&lt;&gt;"","Est. from traffic × CVR","")))</f>
        <v/>
      </c>
      <c r="K47" s="19" t="n">
        <f aca="false">IF($F47&lt;&gt;"",$F47,IFERROR(INDEX(Assumptions!$D$28:$D$39,MATCH($B47,Assumptions!$B$28:$B$39,0)),Assumptions!$C$19))</f>
        <v>250</v>
      </c>
      <c r="L47" s="20" t="str">
        <f aca="false">IF($C47&lt;&gt;"",$C47/Assumptions!$C$17,IF($E47&lt;&gt;"",$E47*1000000/12/$K47/Assumptions!$C$17,IF($D47&lt;&gt;"",$D47*IF($G47&lt;&gt;"",$G47,IFERROR(INDEX(Assumptions!$C$28:$C$39,MATCH($B47,Assumptions!$B$28:$B$39,0)),Assumptions!$C$18)),"")))</f>
        <v/>
      </c>
      <c r="M47" s="20" t="str">
        <f aca="false">IF($L47="","",IF($D47&lt;&gt;"",$D47,$L47/IF($G47&lt;&gt;"",$G47,IFERROR(INDEX(Assumptions!$C$28:$C$39,MATCH($B47,Assumptions!$B$28:$B$39,0)),Assumptions!$C$18))))</f>
        <v/>
      </c>
      <c r="N47" s="21" t="str">
        <f aca="false">IF($L47="","",MIN($L47/$M47,0.95))</f>
        <v/>
      </c>
      <c r="O47" s="20" t="str">
        <f aca="false">IF($L47="","",$L47*Assumptions!$C$17*12/52)</f>
        <v/>
      </c>
      <c r="P47" s="22" t="str">
        <f aca="false">IF($L47="","",14*((2*Assumptions!$C$23*($N47*(1-$N47)+$N47*(1+Assumptions!$C$11)*(1-$N47*(1+Assumptions!$C$11)))/($N47*Assumptions!$C$11)^2/Assumptions!$C$14)/($M47*Assumptions!$C$24))^(1/Assumptions!$C$16)/7)</f>
        <v/>
      </c>
      <c r="Q47" s="22" t="str">
        <f aca="false">IF($L47="","",14*((2*Assumptions!$C$23*($N47*(1-$N47)+$N47*(1+Assumptions!$C$12)*(1-$N47*(1+Assumptions!$C$12)))/($N47*Assumptions!$C$12)^2/Assumptions!$C$14)/($M47*Assumptions!$C$24))^(1/Assumptions!$C$16)/7)</f>
        <v/>
      </c>
      <c r="R47" s="22" t="str">
        <f aca="false">IF($L47="","",14*((2*Assumptions!$C$23*($N47*(1-$N47)+$N47*(1+Assumptions!$C$13)*(1-$N47*(1+Assumptions!$C$13)))/($N47*Assumptions!$C$13)^2/Assumptions!$C$14)/($M47*Assumptions!$C$24))^(1/Assumptions!$C$16)/7)</f>
        <v/>
      </c>
      <c r="S47" s="23" t="str">
        <f aca="false">IF($L47="","",IF($P47&lt;=Assumptions!$C$9,"Tier 1",IF($P47&lt;=Assumptions!$C$10,"Tier 1 (3-wk)",IF($Q47&lt;=Assumptions!$C$10,"Tier 2",IF($R47&lt;=Assumptions!$C$10,"Tier 3",IF(AND($H47&lt;&gt;"",14*((2*Assumptions!$C$23*(MIN($H47*52/12/$M47,0.95)*(1-MIN($H47*52/12/$M47,0.95))+MIN($H47*52/12/$M47,0.95)*(1+Assumptions!$C$12)*(1-MIN($H47*52/12/$M47,0.95)*(1+Assumptions!$C$12)))/(MIN($H47*52/12/$M47,0.95)*Assumptions!$C$12)^2/Assumptions!$C$14)/($M47*Assumptions!$C$24))^(1/Assumptions!$C$16)/7&lt;=Assumptions!$C$10),"Not a fit — micro-conversion tests only","Not a fit"))))))</f>
        <v/>
      </c>
      <c r="T47" s="18" t="str">
        <f aca="false">IF($S47="","",IF(LEFT($S47,6)="Tier 1","Pursue — trial + fast programme: 5% lifts read in 2–3 weeks",IF($S47="Tier 2","Qualify — bold tests only (10%+ lifts); funnel-wide, 3-week reads",IF($S47="Tier 3","Deprioritise — only exceptional (20%) changes read in 3 weeks",IF($S47="Not a fit","Do not trial A/B — purchase tests cannot read in 3 weeks","Trial only if tests are scored on CTA clicks / leads, not purchases")))))</f>
        <v/>
      </c>
      <c r="U47" s="19" t="str">
        <f aca="false">IF($L47="","",$L47*Assumptions!$C$17*$K47*12/1000000)</f>
        <v/>
      </c>
    </row>
    <row r="48" customFormat="false" ht="15" hidden="false" customHeight="false" outlineLevel="0" collapsed="false">
      <c r="A48" s="14"/>
      <c r="B48" s="14"/>
      <c r="C48" s="15"/>
      <c r="D48" s="15"/>
      <c r="E48" s="16"/>
      <c r="F48" s="16"/>
      <c r="G48" s="17"/>
      <c r="H48" s="15"/>
      <c r="I48" s="14"/>
      <c r="J48" s="18" t="str">
        <f aca="false">IF($C48&lt;&gt;"","Actual orders",IF($E48&lt;&gt;"","Est. from revenue",IF($D48&lt;&gt;"","Est. from traffic × CVR","")))</f>
        <v/>
      </c>
      <c r="K48" s="19" t="n">
        <f aca="false">IF($F48&lt;&gt;"",$F48,IFERROR(INDEX(Assumptions!$D$28:$D$39,MATCH($B48,Assumptions!$B$28:$B$39,0)),Assumptions!$C$19))</f>
        <v>250</v>
      </c>
      <c r="L48" s="20" t="str">
        <f aca="false">IF($C48&lt;&gt;"",$C48/Assumptions!$C$17,IF($E48&lt;&gt;"",$E48*1000000/12/$K48/Assumptions!$C$17,IF($D48&lt;&gt;"",$D48*IF($G48&lt;&gt;"",$G48,IFERROR(INDEX(Assumptions!$C$28:$C$39,MATCH($B48,Assumptions!$B$28:$B$39,0)),Assumptions!$C$18)),"")))</f>
        <v/>
      </c>
      <c r="M48" s="20" t="str">
        <f aca="false">IF($L48="","",IF($D48&lt;&gt;"",$D48,$L48/IF($G48&lt;&gt;"",$G48,IFERROR(INDEX(Assumptions!$C$28:$C$39,MATCH($B48,Assumptions!$B$28:$B$39,0)),Assumptions!$C$18))))</f>
        <v/>
      </c>
      <c r="N48" s="21" t="str">
        <f aca="false">IF($L48="","",MIN($L48/$M48,0.95))</f>
        <v/>
      </c>
      <c r="O48" s="20" t="str">
        <f aca="false">IF($L48="","",$L48*Assumptions!$C$17*12/52)</f>
        <v/>
      </c>
      <c r="P48" s="22" t="str">
        <f aca="false">IF($L48="","",14*((2*Assumptions!$C$23*($N48*(1-$N48)+$N48*(1+Assumptions!$C$11)*(1-$N48*(1+Assumptions!$C$11)))/($N48*Assumptions!$C$11)^2/Assumptions!$C$14)/($M48*Assumptions!$C$24))^(1/Assumptions!$C$16)/7)</f>
        <v/>
      </c>
      <c r="Q48" s="22" t="str">
        <f aca="false">IF($L48="","",14*((2*Assumptions!$C$23*($N48*(1-$N48)+$N48*(1+Assumptions!$C$12)*(1-$N48*(1+Assumptions!$C$12)))/($N48*Assumptions!$C$12)^2/Assumptions!$C$14)/($M48*Assumptions!$C$24))^(1/Assumptions!$C$16)/7)</f>
        <v/>
      </c>
      <c r="R48" s="22" t="str">
        <f aca="false">IF($L48="","",14*((2*Assumptions!$C$23*($N48*(1-$N48)+$N48*(1+Assumptions!$C$13)*(1-$N48*(1+Assumptions!$C$13)))/($N48*Assumptions!$C$13)^2/Assumptions!$C$14)/($M48*Assumptions!$C$24))^(1/Assumptions!$C$16)/7)</f>
        <v/>
      </c>
      <c r="S48" s="23" t="str">
        <f aca="false">IF($L48="","",IF($P48&lt;=Assumptions!$C$9,"Tier 1",IF($P48&lt;=Assumptions!$C$10,"Tier 1 (3-wk)",IF($Q48&lt;=Assumptions!$C$10,"Tier 2",IF($R48&lt;=Assumptions!$C$10,"Tier 3",IF(AND($H48&lt;&gt;"",14*((2*Assumptions!$C$23*(MIN($H48*52/12/$M48,0.95)*(1-MIN($H48*52/12/$M48,0.95))+MIN($H48*52/12/$M48,0.95)*(1+Assumptions!$C$12)*(1-MIN($H48*52/12/$M48,0.95)*(1+Assumptions!$C$12)))/(MIN($H48*52/12/$M48,0.95)*Assumptions!$C$12)^2/Assumptions!$C$14)/($M48*Assumptions!$C$24))^(1/Assumptions!$C$16)/7&lt;=Assumptions!$C$10),"Not a fit — micro-conversion tests only","Not a fit"))))))</f>
        <v/>
      </c>
      <c r="T48" s="18" t="str">
        <f aca="false">IF($S48="","",IF(LEFT($S48,6)="Tier 1","Pursue — trial + fast programme: 5% lifts read in 2–3 weeks",IF($S48="Tier 2","Qualify — bold tests only (10%+ lifts); funnel-wide, 3-week reads",IF($S48="Tier 3","Deprioritise — only exceptional (20%) changes read in 3 weeks",IF($S48="Not a fit","Do not trial A/B — purchase tests cannot read in 3 weeks","Trial only if tests are scored on CTA clicks / leads, not purchases")))))</f>
        <v/>
      </c>
      <c r="U48" s="19" t="str">
        <f aca="false">IF($L48="","",$L48*Assumptions!$C$17*$K48*12/1000000)</f>
        <v/>
      </c>
    </row>
    <row r="49" customFormat="false" ht="15" hidden="false" customHeight="false" outlineLevel="0" collapsed="false">
      <c r="A49" s="14"/>
      <c r="B49" s="14"/>
      <c r="C49" s="15"/>
      <c r="D49" s="15"/>
      <c r="E49" s="16"/>
      <c r="F49" s="16"/>
      <c r="G49" s="17"/>
      <c r="H49" s="15"/>
      <c r="I49" s="14"/>
      <c r="J49" s="18" t="str">
        <f aca="false">IF($C49&lt;&gt;"","Actual orders",IF($E49&lt;&gt;"","Est. from revenue",IF($D49&lt;&gt;"","Est. from traffic × CVR","")))</f>
        <v/>
      </c>
      <c r="K49" s="19" t="n">
        <f aca="false">IF($F49&lt;&gt;"",$F49,IFERROR(INDEX(Assumptions!$D$28:$D$39,MATCH($B49,Assumptions!$B$28:$B$39,0)),Assumptions!$C$19))</f>
        <v>250</v>
      </c>
      <c r="L49" s="20" t="str">
        <f aca="false">IF($C49&lt;&gt;"",$C49/Assumptions!$C$17,IF($E49&lt;&gt;"",$E49*1000000/12/$K49/Assumptions!$C$17,IF($D49&lt;&gt;"",$D49*IF($G49&lt;&gt;"",$G49,IFERROR(INDEX(Assumptions!$C$28:$C$39,MATCH($B49,Assumptions!$B$28:$B$39,0)),Assumptions!$C$18)),"")))</f>
        <v/>
      </c>
      <c r="M49" s="20" t="str">
        <f aca="false">IF($L49="","",IF($D49&lt;&gt;"",$D49,$L49/IF($G49&lt;&gt;"",$G49,IFERROR(INDEX(Assumptions!$C$28:$C$39,MATCH($B49,Assumptions!$B$28:$B$39,0)),Assumptions!$C$18))))</f>
        <v/>
      </c>
      <c r="N49" s="21" t="str">
        <f aca="false">IF($L49="","",MIN($L49/$M49,0.95))</f>
        <v/>
      </c>
      <c r="O49" s="20" t="str">
        <f aca="false">IF($L49="","",$L49*Assumptions!$C$17*12/52)</f>
        <v/>
      </c>
      <c r="P49" s="22" t="str">
        <f aca="false">IF($L49="","",14*((2*Assumptions!$C$23*($N49*(1-$N49)+$N49*(1+Assumptions!$C$11)*(1-$N49*(1+Assumptions!$C$11)))/($N49*Assumptions!$C$11)^2/Assumptions!$C$14)/($M49*Assumptions!$C$24))^(1/Assumptions!$C$16)/7)</f>
        <v/>
      </c>
      <c r="Q49" s="22" t="str">
        <f aca="false">IF($L49="","",14*((2*Assumptions!$C$23*($N49*(1-$N49)+$N49*(1+Assumptions!$C$12)*(1-$N49*(1+Assumptions!$C$12)))/($N49*Assumptions!$C$12)^2/Assumptions!$C$14)/($M49*Assumptions!$C$24))^(1/Assumptions!$C$16)/7)</f>
        <v/>
      </c>
      <c r="R49" s="22" t="str">
        <f aca="false">IF($L49="","",14*((2*Assumptions!$C$23*($N49*(1-$N49)+$N49*(1+Assumptions!$C$13)*(1-$N49*(1+Assumptions!$C$13)))/($N49*Assumptions!$C$13)^2/Assumptions!$C$14)/($M49*Assumptions!$C$24))^(1/Assumptions!$C$16)/7)</f>
        <v/>
      </c>
      <c r="S49" s="23" t="str">
        <f aca="false">IF($L49="","",IF($P49&lt;=Assumptions!$C$9,"Tier 1",IF($P49&lt;=Assumptions!$C$10,"Tier 1 (3-wk)",IF($Q49&lt;=Assumptions!$C$10,"Tier 2",IF($R49&lt;=Assumptions!$C$10,"Tier 3",IF(AND($H49&lt;&gt;"",14*((2*Assumptions!$C$23*(MIN($H49*52/12/$M49,0.95)*(1-MIN($H49*52/12/$M49,0.95))+MIN($H49*52/12/$M49,0.95)*(1+Assumptions!$C$12)*(1-MIN($H49*52/12/$M49,0.95)*(1+Assumptions!$C$12)))/(MIN($H49*52/12/$M49,0.95)*Assumptions!$C$12)^2/Assumptions!$C$14)/($M49*Assumptions!$C$24))^(1/Assumptions!$C$16)/7&lt;=Assumptions!$C$10),"Not a fit — micro-conversion tests only","Not a fit"))))))</f>
        <v/>
      </c>
      <c r="T49" s="18" t="str">
        <f aca="false">IF($S49="","",IF(LEFT($S49,6)="Tier 1","Pursue — trial + fast programme: 5% lifts read in 2–3 weeks",IF($S49="Tier 2","Qualify — bold tests only (10%+ lifts); funnel-wide, 3-week reads",IF($S49="Tier 3","Deprioritise — only exceptional (20%) changes read in 3 weeks",IF($S49="Not a fit","Do not trial A/B — purchase tests cannot read in 3 weeks","Trial only if tests are scored on CTA clicks / leads, not purchases")))))</f>
        <v/>
      </c>
      <c r="U49" s="19" t="str">
        <f aca="false">IF($L49="","",$L49*Assumptions!$C$17*$K49*12/1000000)</f>
        <v/>
      </c>
    </row>
    <row r="50" customFormat="false" ht="15" hidden="false" customHeight="false" outlineLevel="0" collapsed="false">
      <c r="A50" s="14"/>
      <c r="B50" s="14"/>
      <c r="C50" s="15"/>
      <c r="D50" s="15"/>
      <c r="E50" s="16"/>
      <c r="F50" s="16"/>
      <c r="G50" s="17"/>
      <c r="H50" s="15"/>
      <c r="I50" s="14"/>
      <c r="J50" s="18" t="str">
        <f aca="false">IF($C50&lt;&gt;"","Actual orders",IF($E50&lt;&gt;"","Est. from revenue",IF($D50&lt;&gt;"","Est. from traffic × CVR","")))</f>
        <v/>
      </c>
      <c r="K50" s="19" t="n">
        <f aca="false">IF($F50&lt;&gt;"",$F50,IFERROR(INDEX(Assumptions!$D$28:$D$39,MATCH($B50,Assumptions!$B$28:$B$39,0)),Assumptions!$C$19))</f>
        <v>250</v>
      </c>
      <c r="L50" s="20" t="str">
        <f aca="false">IF($C50&lt;&gt;"",$C50/Assumptions!$C$17,IF($E50&lt;&gt;"",$E50*1000000/12/$K50/Assumptions!$C$17,IF($D50&lt;&gt;"",$D50*IF($G50&lt;&gt;"",$G50,IFERROR(INDEX(Assumptions!$C$28:$C$39,MATCH($B50,Assumptions!$B$28:$B$39,0)),Assumptions!$C$18)),"")))</f>
        <v/>
      </c>
      <c r="M50" s="20" t="str">
        <f aca="false">IF($L50="","",IF($D50&lt;&gt;"",$D50,$L50/IF($G50&lt;&gt;"",$G50,IFERROR(INDEX(Assumptions!$C$28:$C$39,MATCH($B50,Assumptions!$B$28:$B$39,0)),Assumptions!$C$18))))</f>
        <v/>
      </c>
      <c r="N50" s="21" t="str">
        <f aca="false">IF($L50="","",MIN($L50/$M50,0.95))</f>
        <v/>
      </c>
      <c r="O50" s="20" t="str">
        <f aca="false">IF($L50="","",$L50*Assumptions!$C$17*12/52)</f>
        <v/>
      </c>
      <c r="P50" s="22" t="str">
        <f aca="false">IF($L50="","",14*((2*Assumptions!$C$23*($N50*(1-$N50)+$N50*(1+Assumptions!$C$11)*(1-$N50*(1+Assumptions!$C$11)))/($N50*Assumptions!$C$11)^2/Assumptions!$C$14)/($M50*Assumptions!$C$24))^(1/Assumptions!$C$16)/7)</f>
        <v/>
      </c>
      <c r="Q50" s="22" t="str">
        <f aca="false">IF($L50="","",14*((2*Assumptions!$C$23*($N50*(1-$N50)+$N50*(1+Assumptions!$C$12)*(1-$N50*(1+Assumptions!$C$12)))/($N50*Assumptions!$C$12)^2/Assumptions!$C$14)/($M50*Assumptions!$C$24))^(1/Assumptions!$C$16)/7)</f>
        <v/>
      </c>
      <c r="R50" s="22" t="str">
        <f aca="false">IF($L50="","",14*((2*Assumptions!$C$23*($N50*(1-$N50)+$N50*(1+Assumptions!$C$13)*(1-$N50*(1+Assumptions!$C$13)))/($N50*Assumptions!$C$13)^2/Assumptions!$C$14)/($M50*Assumptions!$C$24))^(1/Assumptions!$C$16)/7)</f>
        <v/>
      </c>
      <c r="S50" s="23" t="str">
        <f aca="false">IF($L50="","",IF($P50&lt;=Assumptions!$C$9,"Tier 1",IF($P50&lt;=Assumptions!$C$10,"Tier 1 (3-wk)",IF($Q50&lt;=Assumptions!$C$10,"Tier 2",IF($R50&lt;=Assumptions!$C$10,"Tier 3",IF(AND($H50&lt;&gt;"",14*((2*Assumptions!$C$23*(MIN($H50*52/12/$M50,0.95)*(1-MIN($H50*52/12/$M50,0.95))+MIN($H50*52/12/$M50,0.95)*(1+Assumptions!$C$12)*(1-MIN($H50*52/12/$M50,0.95)*(1+Assumptions!$C$12)))/(MIN($H50*52/12/$M50,0.95)*Assumptions!$C$12)^2/Assumptions!$C$14)/($M50*Assumptions!$C$24))^(1/Assumptions!$C$16)/7&lt;=Assumptions!$C$10),"Not a fit — micro-conversion tests only","Not a fit"))))))</f>
        <v/>
      </c>
      <c r="T50" s="18" t="str">
        <f aca="false">IF($S50="","",IF(LEFT($S50,6)="Tier 1","Pursue — trial + fast programme: 5% lifts read in 2–3 weeks",IF($S50="Tier 2","Qualify — bold tests only (10%+ lifts); funnel-wide, 3-week reads",IF($S50="Tier 3","Deprioritise — only exceptional (20%) changes read in 3 weeks",IF($S50="Not a fit","Do not trial A/B — purchase tests cannot read in 3 weeks","Trial only if tests are scored on CTA clicks / leads, not purchases")))))</f>
        <v/>
      </c>
      <c r="U50" s="19" t="str">
        <f aca="false">IF($L50="","",$L50*Assumptions!$C$17*$K50*12/1000000)</f>
        <v/>
      </c>
    </row>
    <row r="51" customFormat="false" ht="15" hidden="false" customHeight="false" outlineLevel="0" collapsed="false">
      <c r="A51" s="14"/>
      <c r="B51" s="14"/>
      <c r="C51" s="15"/>
      <c r="D51" s="15"/>
      <c r="E51" s="16"/>
      <c r="F51" s="16"/>
      <c r="G51" s="17"/>
      <c r="H51" s="15"/>
      <c r="I51" s="14"/>
      <c r="J51" s="18" t="str">
        <f aca="false">IF($C51&lt;&gt;"","Actual orders",IF($E51&lt;&gt;"","Est. from revenue",IF($D51&lt;&gt;"","Est. from traffic × CVR","")))</f>
        <v/>
      </c>
      <c r="K51" s="19" t="n">
        <f aca="false">IF($F51&lt;&gt;"",$F51,IFERROR(INDEX(Assumptions!$D$28:$D$39,MATCH($B51,Assumptions!$B$28:$B$39,0)),Assumptions!$C$19))</f>
        <v>250</v>
      </c>
      <c r="L51" s="20" t="str">
        <f aca="false">IF($C51&lt;&gt;"",$C51/Assumptions!$C$17,IF($E51&lt;&gt;"",$E51*1000000/12/$K51/Assumptions!$C$17,IF($D51&lt;&gt;"",$D51*IF($G51&lt;&gt;"",$G51,IFERROR(INDEX(Assumptions!$C$28:$C$39,MATCH($B51,Assumptions!$B$28:$B$39,0)),Assumptions!$C$18)),"")))</f>
        <v/>
      </c>
      <c r="M51" s="20" t="str">
        <f aca="false">IF($L51="","",IF($D51&lt;&gt;"",$D51,$L51/IF($G51&lt;&gt;"",$G51,IFERROR(INDEX(Assumptions!$C$28:$C$39,MATCH($B51,Assumptions!$B$28:$B$39,0)),Assumptions!$C$18))))</f>
        <v/>
      </c>
      <c r="N51" s="21" t="str">
        <f aca="false">IF($L51="","",MIN($L51/$M51,0.95))</f>
        <v/>
      </c>
      <c r="O51" s="20" t="str">
        <f aca="false">IF($L51="","",$L51*Assumptions!$C$17*12/52)</f>
        <v/>
      </c>
      <c r="P51" s="22" t="str">
        <f aca="false">IF($L51="","",14*((2*Assumptions!$C$23*($N51*(1-$N51)+$N51*(1+Assumptions!$C$11)*(1-$N51*(1+Assumptions!$C$11)))/($N51*Assumptions!$C$11)^2/Assumptions!$C$14)/($M51*Assumptions!$C$24))^(1/Assumptions!$C$16)/7)</f>
        <v/>
      </c>
      <c r="Q51" s="22" t="str">
        <f aca="false">IF($L51="","",14*((2*Assumptions!$C$23*($N51*(1-$N51)+$N51*(1+Assumptions!$C$12)*(1-$N51*(1+Assumptions!$C$12)))/($N51*Assumptions!$C$12)^2/Assumptions!$C$14)/($M51*Assumptions!$C$24))^(1/Assumptions!$C$16)/7)</f>
        <v/>
      </c>
      <c r="R51" s="22" t="str">
        <f aca="false">IF($L51="","",14*((2*Assumptions!$C$23*($N51*(1-$N51)+$N51*(1+Assumptions!$C$13)*(1-$N51*(1+Assumptions!$C$13)))/($N51*Assumptions!$C$13)^2/Assumptions!$C$14)/($M51*Assumptions!$C$24))^(1/Assumptions!$C$16)/7)</f>
        <v/>
      </c>
      <c r="S51" s="23" t="str">
        <f aca="false">IF($L51="","",IF($P51&lt;=Assumptions!$C$9,"Tier 1",IF($P51&lt;=Assumptions!$C$10,"Tier 1 (3-wk)",IF($Q51&lt;=Assumptions!$C$10,"Tier 2",IF($R51&lt;=Assumptions!$C$10,"Tier 3",IF(AND($H51&lt;&gt;"",14*((2*Assumptions!$C$23*(MIN($H51*52/12/$M51,0.95)*(1-MIN($H51*52/12/$M51,0.95))+MIN($H51*52/12/$M51,0.95)*(1+Assumptions!$C$12)*(1-MIN($H51*52/12/$M51,0.95)*(1+Assumptions!$C$12)))/(MIN($H51*52/12/$M51,0.95)*Assumptions!$C$12)^2/Assumptions!$C$14)/($M51*Assumptions!$C$24))^(1/Assumptions!$C$16)/7&lt;=Assumptions!$C$10),"Not a fit — micro-conversion tests only","Not a fit"))))))</f>
        <v/>
      </c>
      <c r="T51" s="18" t="str">
        <f aca="false">IF($S51="","",IF(LEFT($S51,6)="Tier 1","Pursue — trial + fast programme: 5% lifts read in 2–3 weeks",IF($S51="Tier 2","Qualify — bold tests only (10%+ lifts); funnel-wide, 3-week reads",IF($S51="Tier 3","Deprioritise — only exceptional (20%) changes read in 3 weeks",IF($S51="Not a fit","Do not trial A/B — purchase tests cannot read in 3 weeks","Trial only if tests are scored on CTA clicks / leads, not purchases")))))</f>
        <v/>
      </c>
      <c r="U51" s="19" t="str">
        <f aca="false">IF($L51="","",$L51*Assumptions!$C$17*$K51*12/1000000)</f>
        <v/>
      </c>
    </row>
    <row r="52" customFormat="false" ht="15" hidden="false" customHeight="false" outlineLevel="0" collapsed="false">
      <c r="A52" s="14"/>
      <c r="B52" s="14"/>
      <c r="C52" s="15"/>
      <c r="D52" s="15"/>
      <c r="E52" s="16"/>
      <c r="F52" s="16"/>
      <c r="G52" s="17"/>
      <c r="H52" s="15"/>
      <c r="I52" s="14"/>
      <c r="J52" s="18" t="str">
        <f aca="false">IF($C52&lt;&gt;"","Actual orders",IF($E52&lt;&gt;"","Est. from revenue",IF($D52&lt;&gt;"","Est. from traffic × CVR","")))</f>
        <v/>
      </c>
      <c r="K52" s="19" t="n">
        <f aca="false">IF($F52&lt;&gt;"",$F52,IFERROR(INDEX(Assumptions!$D$28:$D$39,MATCH($B52,Assumptions!$B$28:$B$39,0)),Assumptions!$C$19))</f>
        <v>250</v>
      </c>
      <c r="L52" s="20" t="str">
        <f aca="false">IF($C52&lt;&gt;"",$C52/Assumptions!$C$17,IF($E52&lt;&gt;"",$E52*1000000/12/$K52/Assumptions!$C$17,IF($D52&lt;&gt;"",$D52*IF($G52&lt;&gt;"",$G52,IFERROR(INDEX(Assumptions!$C$28:$C$39,MATCH($B52,Assumptions!$B$28:$B$39,0)),Assumptions!$C$18)),"")))</f>
        <v/>
      </c>
      <c r="M52" s="20" t="str">
        <f aca="false">IF($L52="","",IF($D52&lt;&gt;"",$D52,$L52/IF($G52&lt;&gt;"",$G52,IFERROR(INDEX(Assumptions!$C$28:$C$39,MATCH($B52,Assumptions!$B$28:$B$39,0)),Assumptions!$C$18))))</f>
        <v/>
      </c>
      <c r="N52" s="21" t="str">
        <f aca="false">IF($L52="","",MIN($L52/$M52,0.95))</f>
        <v/>
      </c>
      <c r="O52" s="20" t="str">
        <f aca="false">IF($L52="","",$L52*Assumptions!$C$17*12/52)</f>
        <v/>
      </c>
      <c r="P52" s="22" t="str">
        <f aca="false">IF($L52="","",14*((2*Assumptions!$C$23*($N52*(1-$N52)+$N52*(1+Assumptions!$C$11)*(1-$N52*(1+Assumptions!$C$11)))/($N52*Assumptions!$C$11)^2/Assumptions!$C$14)/($M52*Assumptions!$C$24))^(1/Assumptions!$C$16)/7)</f>
        <v/>
      </c>
      <c r="Q52" s="22" t="str">
        <f aca="false">IF($L52="","",14*((2*Assumptions!$C$23*($N52*(1-$N52)+$N52*(1+Assumptions!$C$12)*(1-$N52*(1+Assumptions!$C$12)))/($N52*Assumptions!$C$12)^2/Assumptions!$C$14)/($M52*Assumptions!$C$24))^(1/Assumptions!$C$16)/7)</f>
        <v/>
      </c>
      <c r="R52" s="22" t="str">
        <f aca="false">IF($L52="","",14*((2*Assumptions!$C$23*($N52*(1-$N52)+$N52*(1+Assumptions!$C$13)*(1-$N52*(1+Assumptions!$C$13)))/($N52*Assumptions!$C$13)^2/Assumptions!$C$14)/($M52*Assumptions!$C$24))^(1/Assumptions!$C$16)/7)</f>
        <v/>
      </c>
      <c r="S52" s="23" t="str">
        <f aca="false">IF($L52="","",IF($P52&lt;=Assumptions!$C$9,"Tier 1",IF($P52&lt;=Assumptions!$C$10,"Tier 1 (3-wk)",IF($Q52&lt;=Assumptions!$C$10,"Tier 2",IF($R52&lt;=Assumptions!$C$10,"Tier 3",IF(AND($H52&lt;&gt;"",14*((2*Assumptions!$C$23*(MIN($H52*52/12/$M52,0.95)*(1-MIN($H52*52/12/$M52,0.95))+MIN($H52*52/12/$M52,0.95)*(1+Assumptions!$C$12)*(1-MIN($H52*52/12/$M52,0.95)*(1+Assumptions!$C$12)))/(MIN($H52*52/12/$M52,0.95)*Assumptions!$C$12)^2/Assumptions!$C$14)/($M52*Assumptions!$C$24))^(1/Assumptions!$C$16)/7&lt;=Assumptions!$C$10),"Not a fit — micro-conversion tests only","Not a fit"))))))</f>
        <v/>
      </c>
      <c r="T52" s="18" t="str">
        <f aca="false">IF($S52="","",IF(LEFT($S52,6)="Tier 1","Pursue — trial + fast programme: 5% lifts read in 2–3 weeks",IF($S52="Tier 2","Qualify — bold tests only (10%+ lifts); funnel-wide, 3-week reads",IF($S52="Tier 3","Deprioritise — only exceptional (20%) changes read in 3 weeks",IF($S52="Not a fit","Do not trial A/B — purchase tests cannot read in 3 weeks","Trial only if tests are scored on CTA clicks / leads, not purchases")))))</f>
        <v/>
      </c>
      <c r="U52" s="19" t="str">
        <f aca="false">IF($L52="","",$L52*Assumptions!$C$17*$K52*12/1000000)</f>
        <v/>
      </c>
    </row>
    <row r="53" customFormat="false" ht="15" hidden="false" customHeight="false" outlineLevel="0" collapsed="false">
      <c r="A53" s="14"/>
      <c r="B53" s="14"/>
      <c r="C53" s="15"/>
      <c r="D53" s="15"/>
      <c r="E53" s="16"/>
      <c r="F53" s="16"/>
      <c r="G53" s="17"/>
      <c r="H53" s="15"/>
      <c r="I53" s="14"/>
      <c r="J53" s="18" t="str">
        <f aca="false">IF($C53&lt;&gt;"","Actual orders",IF($E53&lt;&gt;"","Est. from revenue",IF($D53&lt;&gt;"","Est. from traffic × CVR","")))</f>
        <v/>
      </c>
      <c r="K53" s="19" t="n">
        <f aca="false">IF($F53&lt;&gt;"",$F53,IFERROR(INDEX(Assumptions!$D$28:$D$39,MATCH($B53,Assumptions!$B$28:$B$39,0)),Assumptions!$C$19))</f>
        <v>250</v>
      </c>
      <c r="L53" s="20" t="str">
        <f aca="false">IF($C53&lt;&gt;"",$C53/Assumptions!$C$17,IF($E53&lt;&gt;"",$E53*1000000/12/$K53/Assumptions!$C$17,IF($D53&lt;&gt;"",$D53*IF($G53&lt;&gt;"",$G53,IFERROR(INDEX(Assumptions!$C$28:$C$39,MATCH($B53,Assumptions!$B$28:$B$39,0)),Assumptions!$C$18)),"")))</f>
        <v/>
      </c>
      <c r="M53" s="20" t="str">
        <f aca="false">IF($L53="","",IF($D53&lt;&gt;"",$D53,$L53/IF($G53&lt;&gt;"",$G53,IFERROR(INDEX(Assumptions!$C$28:$C$39,MATCH($B53,Assumptions!$B$28:$B$39,0)),Assumptions!$C$18))))</f>
        <v/>
      </c>
      <c r="N53" s="21" t="str">
        <f aca="false">IF($L53="","",MIN($L53/$M53,0.95))</f>
        <v/>
      </c>
      <c r="O53" s="20" t="str">
        <f aca="false">IF($L53="","",$L53*Assumptions!$C$17*12/52)</f>
        <v/>
      </c>
      <c r="P53" s="22" t="str">
        <f aca="false">IF($L53="","",14*((2*Assumptions!$C$23*($N53*(1-$N53)+$N53*(1+Assumptions!$C$11)*(1-$N53*(1+Assumptions!$C$11)))/($N53*Assumptions!$C$11)^2/Assumptions!$C$14)/($M53*Assumptions!$C$24))^(1/Assumptions!$C$16)/7)</f>
        <v/>
      </c>
      <c r="Q53" s="22" t="str">
        <f aca="false">IF($L53="","",14*((2*Assumptions!$C$23*($N53*(1-$N53)+$N53*(1+Assumptions!$C$12)*(1-$N53*(1+Assumptions!$C$12)))/($N53*Assumptions!$C$12)^2/Assumptions!$C$14)/($M53*Assumptions!$C$24))^(1/Assumptions!$C$16)/7)</f>
        <v/>
      </c>
      <c r="R53" s="22" t="str">
        <f aca="false">IF($L53="","",14*((2*Assumptions!$C$23*($N53*(1-$N53)+$N53*(1+Assumptions!$C$13)*(1-$N53*(1+Assumptions!$C$13)))/($N53*Assumptions!$C$13)^2/Assumptions!$C$14)/($M53*Assumptions!$C$24))^(1/Assumptions!$C$16)/7)</f>
        <v/>
      </c>
      <c r="S53" s="23" t="str">
        <f aca="false">IF($L53="","",IF($P53&lt;=Assumptions!$C$9,"Tier 1",IF($P53&lt;=Assumptions!$C$10,"Tier 1 (3-wk)",IF($Q53&lt;=Assumptions!$C$10,"Tier 2",IF($R53&lt;=Assumptions!$C$10,"Tier 3",IF(AND($H53&lt;&gt;"",14*((2*Assumptions!$C$23*(MIN($H53*52/12/$M53,0.95)*(1-MIN($H53*52/12/$M53,0.95))+MIN($H53*52/12/$M53,0.95)*(1+Assumptions!$C$12)*(1-MIN($H53*52/12/$M53,0.95)*(1+Assumptions!$C$12)))/(MIN($H53*52/12/$M53,0.95)*Assumptions!$C$12)^2/Assumptions!$C$14)/($M53*Assumptions!$C$24))^(1/Assumptions!$C$16)/7&lt;=Assumptions!$C$10),"Not a fit — micro-conversion tests only","Not a fit"))))))</f>
        <v/>
      </c>
      <c r="T53" s="18" t="str">
        <f aca="false">IF($S53="","",IF(LEFT($S53,6)="Tier 1","Pursue — trial + fast programme: 5% lifts read in 2–3 weeks",IF($S53="Tier 2","Qualify — bold tests only (10%+ lifts); funnel-wide, 3-week reads",IF($S53="Tier 3","Deprioritise — only exceptional (20%) changes read in 3 weeks",IF($S53="Not a fit","Do not trial A/B — purchase tests cannot read in 3 weeks","Trial only if tests are scored on CTA clicks / leads, not purchases")))))</f>
        <v/>
      </c>
      <c r="U53" s="19" t="str">
        <f aca="false">IF($L53="","",$L53*Assumptions!$C$17*$K53*12/1000000)</f>
        <v/>
      </c>
    </row>
    <row r="54" customFormat="false" ht="15" hidden="false" customHeight="false" outlineLevel="0" collapsed="false">
      <c r="A54" s="14"/>
      <c r="B54" s="14"/>
      <c r="C54" s="15"/>
      <c r="D54" s="15"/>
      <c r="E54" s="16"/>
      <c r="F54" s="16"/>
      <c r="G54" s="17"/>
      <c r="H54" s="15"/>
      <c r="I54" s="14"/>
      <c r="J54" s="18" t="str">
        <f aca="false">IF($C54&lt;&gt;"","Actual orders",IF($E54&lt;&gt;"","Est. from revenue",IF($D54&lt;&gt;"","Est. from traffic × CVR","")))</f>
        <v/>
      </c>
      <c r="K54" s="19" t="n">
        <f aca="false">IF($F54&lt;&gt;"",$F54,IFERROR(INDEX(Assumptions!$D$28:$D$39,MATCH($B54,Assumptions!$B$28:$B$39,0)),Assumptions!$C$19))</f>
        <v>250</v>
      </c>
      <c r="L54" s="20" t="str">
        <f aca="false">IF($C54&lt;&gt;"",$C54/Assumptions!$C$17,IF($E54&lt;&gt;"",$E54*1000000/12/$K54/Assumptions!$C$17,IF($D54&lt;&gt;"",$D54*IF($G54&lt;&gt;"",$G54,IFERROR(INDEX(Assumptions!$C$28:$C$39,MATCH($B54,Assumptions!$B$28:$B$39,0)),Assumptions!$C$18)),"")))</f>
        <v/>
      </c>
      <c r="M54" s="20" t="str">
        <f aca="false">IF($L54="","",IF($D54&lt;&gt;"",$D54,$L54/IF($G54&lt;&gt;"",$G54,IFERROR(INDEX(Assumptions!$C$28:$C$39,MATCH($B54,Assumptions!$B$28:$B$39,0)),Assumptions!$C$18))))</f>
        <v/>
      </c>
      <c r="N54" s="21" t="str">
        <f aca="false">IF($L54="","",MIN($L54/$M54,0.95))</f>
        <v/>
      </c>
      <c r="O54" s="20" t="str">
        <f aca="false">IF($L54="","",$L54*Assumptions!$C$17*12/52)</f>
        <v/>
      </c>
      <c r="P54" s="22" t="str">
        <f aca="false">IF($L54="","",14*((2*Assumptions!$C$23*($N54*(1-$N54)+$N54*(1+Assumptions!$C$11)*(1-$N54*(1+Assumptions!$C$11)))/($N54*Assumptions!$C$11)^2/Assumptions!$C$14)/($M54*Assumptions!$C$24))^(1/Assumptions!$C$16)/7)</f>
        <v/>
      </c>
      <c r="Q54" s="22" t="str">
        <f aca="false">IF($L54="","",14*((2*Assumptions!$C$23*($N54*(1-$N54)+$N54*(1+Assumptions!$C$12)*(1-$N54*(1+Assumptions!$C$12)))/($N54*Assumptions!$C$12)^2/Assumptions!$C$14)/($M54*Assumptions!$C$24))^(1/Assumptions!$C$16)/7)</f>
        <v/>
      </c>
      <c r="R54" s="22" t="str">
        <f aca="false">IF($L54="","",14*((2*Assumptions!$C$23*($N54*(1-$N54)+$N54*(1+Assumptions!$C$13)*(1-$N54*(1+Assumptions!$C$13)))/($N54*Assumptions!$C$13)^2/Assumptions!$C$14)/($M54*Assumptions!$C$24))^(1/Assumptions!$C$16)/7)</f>
        <v/>
      </c>
      <c r="S54" s="23" t="str">
        <f aca="false">IF($L54="","",IF($P54&lt;=Assumptions!$C$9,"Tier 1",IF($P54&lt;=Assumptions!$C$10,"Tier 1 (3-wk)",IF($Q54&lt;=Assumptions!$C$10,"Tier 2",IF($R54&lt;=Assumptions!$C$10,"Tier 3",IF(AND($H54&lt;&gt;"",14*((2*Assumptions!$C$23*(MIN($H54*52/12/$M54,0.95)*(1-MIN($H54*52/12/$M54,0.95))+MIN($H54*52/12/$M54,0.95)*(1+Assumptions!$C$12)*(1-MIN($H54*52/12/$M54,0.95)*(1+Assumptions!$C$12)))/(MIN($H54*52/12/$M54,0.95)*Assumptions!$C$12)^2/Assumptions!$C$14)/($M54*Assumptions!$C$24))^(1/Assumptions!$C$16)/7&lt;=Assumptions!$C$10),"Not a fit — micro-conversion tests only","Not a fit"))))))</f>
        <v/>
      </c>
      <c r="T54" s="18" t="str">
        <f aca="false">IF($S54="","",IF(LEFT($S54,6)="Tier 1","Pursue — trial + fast programme: 5% lifts read in 2–3 weeks",IF($S54="Tier 2","Qualify — bold tests only (10%+ lifts); funnel-wide, 3-week reads",IF($S54="Tier 3","Deprioritise — only exceptional (20%) changes read in 3 weeks",IF($S54="Not a fit","Do not trial A/B — purchase tests cannot read in 3 weeks","Trial only if tests are scored on CTA clicks / leads, not purchases")))))</f>
        <v/>
      </c>
      <c r="U54" s="19" t="str">
        <f aca="false">IF($L54="","",$L54*Assumptions!$C$17*$K54*12/1000000)</f>
        <v/>
      </c>
    </row>
    <row r="55" customFormat="false" ht="15" hidden="false" customHeight="false" outlineLevel="0" collapsed="false">
      <c r="A55" s="14"/>
      <c r="B55" s="14"/>
      <c r="C55" s="15"/>
      <c r="D55" s="15"/>
      <c r="E55" s="16"/>
      <c r="F55" s="16"/>
      <c r="G55" s="17"/>
      <c r="H55" s="15"/>
      <c r="I55" s="14"/>
      <c r="J55" s="18" t="str">
        <f aca="false">IF($C55&lt;&gt;"","Actual orders",IF($E55&lt;&gt;"","Est. from revenue",IF($D55&lt;&gt;"","Est. from traffic × CVR","")))</f>
        <v/>
      </c>
      <c r="K55" s="19" t="n">
        <f aca="false">IF($F55&lt;&gt;"",$F55,IFERROR(INDEX(Assumptions!$D$28:$D$39,MATCH($B55,Assumptions!$B$28:$B$39,0)),Assumptions!$C$19))</f>
        <v>250</v>
      </c>
      <c r="L55" s="20" t="str">
        <f aca="false">IF($C55&lt;&gt;"",$C55/Assumptions!$C$17,IF($E55&lt;&gt;"",$E55*1000000/12/$K55/Assumptions!$C$17,IF($D55&lt;&gt;"",$D55*IF($G55&lt;&gt;"",$G55,IFERROR(INDEX(Assumptions!$C$28:$C$39,MATCH($B55,Assumptions!$B$28:$B$39,0)),Assumptions!$C$18)),"")))</f>
        <v/>
      </c>
      <c r="M55" s="20" t="str">
        <f aca="false">IF($L55="","",IF($D55&lt;&gt;"",$D55,$L55/IF($G55&lt;&gt;"",$G55,IFERROR(INDEX(Assumptions!$C$28:$C$39,MATCH($B55,Assumptions!$B$28:$B$39,0)),Assumptions!$C$18))))</f>
        <v/>
      </c>
      <c r="N55" s="21" t="str">
        <f aca="false">IF($L55="","",MIN($L55/$M55,0.95))</f>
        <v/>
      </c>
      <c r="O55" s="20" t="str">
        <f aca="false">IF($L55="","",$L55*Assumptions!$C$17*12/52)</f>
        <v/>
      </c>
      <c r="P55" s="22" t="str">
        <f aca="false">IF($L55="","",14*((2*Assumptions!$C$23*($N55*(1-$N55)+$N55*(1+Assumptions!$C$11)*(1-$N55*(1+Assumptions!$C$11)))/($N55*Assumptions!$C$11)^2/Assumptions!$C$14)/($M55*Assumptions!$C$24))^(1/Assumptions!$C$16)/7)</f>
        <v/>
      </c>
      <c r="Q55" s="22" t="str">
        <f aca="false">IF($L55="","",14*((2*Assumptions!$C$23*($N55*(1-$N55)+$N55*(1+Assumptions!$C$12)*(1-$N55*(1+Assumptions!$C$12)))/($N55*Assumptions!$C$12)^2/Assumptions!$C$14)/($M55*Assumptions!$C$24))^(1/Assumptions!$C$16)/7)</f>
        <v/>
      </c>
      <c r="R55" s="22" t="str">
        <f aca="false">IF($L55="","",14*((2*Assumptions!$C$23*($N55*(1-$N55)+$N55*(1+Assumptions!$C$13)*(1-$N55*(1+Assumptions!$C$13)))/($N55*Assumptions!$C$13)^2/Assumptions!$C$14)/($M55*Assumptions!$C$24))^(1/Assumptions!$C$16)/7)</f>
        <v/>
      </c>
      <c r="S55" s="23" t="str">
        <f aca="false">IF($L55="","",IF($P55&lt;=Assumptions!$C$9,"Tier 1",IF($P55&lt;=Assumptions!$C$10,"Tier 1 (3-wk)",IF($Q55&lt;=Assumptions!$C$10,"Tier 2",IF($R55&lt;=Assumptions!$C$10,"Tier 3",IF(AND($H55&lt;&gt;"",14*((2*Assumptions!$C$23*(MIN($H55*52/12/$M55,0.95)*(1-MIN($H55*52/12/$M55,0.95))+MIN($H55*52/12/$M55,0.95)*(1+Assumptions!$C$12)*(1-MIN($H55*52/12/$M55,0.95)*(1+Assumptions!$C$12)))/(MIN($H55*52/12/$M55,0.95)*Assumptions!$C$12)^2/Assumptions!$C$14)/($M55*Assumptions!$C$24))^(1/Assumptions!$C$16)/7&lt;=Assumptions!$C$10),"Not a fit — micro-conversion tests only","Not a fit"))))))</f>
        <v/>
      </c>
      <c r="T55" s="18" t="str">
        <f aca="false">IF($S55="","",IF(LEFT($S55,6)="Tier 1","Pursue — trial + fast programme: 5% lifts read in 2–3 weeks",IF($S55="Tier 2","Qualify — bold tests only (10%+ lifts); funnel-wide, 3-week reads",IF($S55="Tier 3","Deprioritise — only exceptional (20%) changes read in 3 weeks",IF($S55="Not a fit","Do not trial A/B — purchase tests cannot read in 3 weeks","Trial only if tests are scored on CTA clicks / leads, not purchases")))))</f>
        <v/>
      </c>
      <c r="U55" s="19" t="str">
        <f aca="false">IF($L55="","",$L55*Assumptions!$C$17*$K55*12/1000000)</f>
        <v/>
      </c>
    </row>
    <row r="56" customFormat="false" ht="15" hidden="false" customHeight="false" outlineLevel="0" collapsed="false">
      <c r="A56" s="14"/>
      <c r="B56" s="14"/>
      <c r="C56" s="15"/>
      <c r="D56" s="15"/>
      <c r="E56" s="16"/>
      <c r="F56" s="16"/>
      <c r="G56" s="17"/>
      <c r="H56" s="15"/>
      <c r="I56" s="14"/>
      <c r="J56" s="18" t="str">
        <f aca="false">IF($C56&lt;&gt;"","Actual orders",IF($E56&lt;&gt;"","Est. from revenue",IF($D56&lt;&gt;"","Est. from traffic × CVR","")))</f>
        <v/>
      </c>
      <c r="K56" s="19" t="n">
        <f aca="false">IF($F56&lt;&gt;"",$F56,IFERROR(INDEX(Assumptions!$D$28:$D$39,MATCH($B56,Assumptions!$B$28:$B$39,0)),Assumptions!$C$19))</f>
        <v>250</v>
      </c>
      <c r="L56" s="20" t="str">
        <f aca="false">IF($C56&lt;&gt;"",$C56/Assumptions!$C$17,IF($E56&lt;&gt;"",$E56*1000000/12/$K56/Assumptions!$C$17,IF($D56&lt;&gt;"",$D56*IF($G56&lt;&gt;"",$G56,IFERROR(INDEX(Assumptions!$C$28:$C$39,MATCH($B56,Assumptions!$B$28:$B$39,0)),Assumptions!$C$18)),"")))</f>
        <v/>
      </c>
      <c r="M56" s="20" t="str">
        <f aca="false">IF($L56="","",IF($D56&lt;&gt;"",$D56,$L56/IF($G56&lt;&gt;"",$G56,IFERROR(INDEX(Assumptions!$C$28:$C$39,MATCH($B56,Assumptions!$B$28:$B$39,0)),Assumptions!$C$18))))</f>
        <v/>
      </c>
      <c r="N56" s="21" t="str">
        <f aca="false">IF($L56="","",MIN($L56/$M56,0.95))</f>
        <v/>
      </c>
      <c r="O56" s="20" t="str">
        <f aca="false">IF($L56="","",$L56*Assumptions!$C$17*12/52)</f>
        <v/>
      </c>
      <c r="P56" s="22" t="str">
        <f aca="false">IF($L56="","",14*((2*Assumptions!$C$23*($N56*(1-$N56)+$N56*(1+Assumptions!$C$11)*(1-$N56*(1+Assumptions!$C$11)))/($N56*Assumptions!$C$11)^2/Assumptions!$C$14)/($M56*Assumptions!$C$24))^(1/Assumptions!$C$16)/7)</f>
        <v/>
      </c>
      <c r="Q56" s="22" t="str">
        <f aca="false">IF($L56="","",14*((2*Assumptions!$C$23*($N56*(1-$N56)+$N56*(1+Assumptions!$C$12)*(1-$N56*(1+Assumptions!$C$12)))/($N56*Assumptions!$C$12)^2/Assumptions!$C$14)/($M56*Assumptions!$C$24))^(1/Assumptions!$C$16)/7)</f>
        <v/>
      </c>
      <c r="R56" s="22" t="str">
        <f aca="false">IF($L56="","",14*((2*Assumptions!$C$23*($N56*(1-$N56)+$N56*(1+Assumptions!$C$13)*(1-$N56*(1+Assumptions!$C$13)))/($N56*Assumptions!$C$13)^2/Assumptions!$C$14)/($M56*Assumptions!$C$24))^(1/Assumptions!$C$16)/7)</f>
        <v/>
      </c>
      <c r="S56" s="23" t="str">
        <f aca="false">IF($L56="","",IF($P56&lt;=Assumptions!$C$9,"Tier 1",IF($P56&lt;=Assumptions!$C$10,"Tier 1 (3-wk)",IF($Q56&lt;=Assumptions!$C$10,"Tier 2",IF($R56&lt;=Assumptions!$C$10,"Tier 3",IF(AND($H56&lt;&gt;"",14*((2*Assumptions!$C$23*(MIN($H56*52/12/$M56,0.95)*(1-MIN($H56*52/12/$M56,0.95))+MIN($H56*52/12/$M56,0.95)*(1+Assumptions!$C$12)*(1-MIN($H56*52/12/$M56,0.95)*(1+Assumptions!$C$12)))/(MIN($H56*52/12/$M56,0.95)*Assumptions!$C$12)^2/Assumptions!$C$14)/($M56*Assumptions!$C$24))^(1/Assumptions!$C$16)/7&lt;=Assumptions!$C$10),"Not a fit — micro-conversion tests only","Not a fit"))))))</f>
        <v/>
      </c>
      <c r="T56" s="18" t="str">
        <f aca="false">IF($S56="","",IF(LEFT($S56,6)="Tier 1","Pursue — trial + fast programme: 5% lifts read in 2–3 weeks",IF($S56="Tier 2","Qualify — bold tests only (10%+ lifts); funnel-wide, 3-week reads",IF($S56="Tier 3","Deprioritise — only exceptional (20%) changes read in 3 weeks",IF($S56="Not a fit","Do not trial A/B — purchase tests cannot read in 3 weeks","Trial only if tests are scored on CTA clicks / leads, not purchases")))))</f>
        <v/>
      </c>
      <c r="U56" s="19" t="str">
        <f aca="false">IF($L56="","",$L56*Assumptions!$C$17*$K56*12/1000000)</f>
        <v/>
      </c>
    </row>
    <row r="57" customFormat="false" ht="15" hidden="false" customHeight="false" outlineLevel="0" collapsed="false">
      <c r="A57" s="14"/>
      <c r="B57" s="14"/>
      <c r="C57" s="15"/>
      <c r="D57" s="15"/>
      <c r="E57" s="16"/>
      <c r="F57" s="16"/>
      <c r="G57" s="17"/>
      <c r="H57" s="15"/>
      <c r="I57" s="14"/>
      <c r="J57" s="18" t="str">
        <f aca="false">IF($C57&lt;&gt;"","Actual orders",IF($E57&lt;&gt;"","Est. from revenue",IF($D57&lt;&gt;"","Est. from traffic × CVR","")))</f>
        <v/>
      </c>
      <c r="K57" s="19" t="n">
        <f aca="false">IF($F57&lt;&gt;"",$F57,IFERROR(INDEX(Assumptions!$D$28:$D$39,MATCH($B57,Assumptions!$B$28:$B$39,0)),Assumptions!$C$19))</f>
        <v>250</v>
      </c>
      <c r="L57" s="20" t="str">
        <f aca="false">IF($C57&lt;&gt;"",$C57/Assumptions!$C$17,IF($E57&lt;&gt;"",$E57*1000000/12/$K57/Assumptions!$C$17,IF($D57&lt;&gt;"",$D57*IF($G57&lt;&gt;"",$G57,IFERROR(INDEX(Assumptions!$C$28:$C$39,MATCH($B57,Assumptions!$B$28:$B$39,0)),Assumptions!$C$18)),"")))</f>
        <v/>
      </c>
      <c r="M57" s="20" t="str">
        <f aca="false">IF($L57="","",IF($D57&lt;&gt;"",$D57,$L57/IF($G57&lt;&gt;"",$G57,IFERROR(INDEX(Assumptions!$C$28:$C$39,MATCH($B57,Assumptions!$B$28:$B$39,0)),Assumptions!$C$18))))</f>
        <v/>
      </c>
      <c r="N57" s="21" t="str">
        <f aca="false">IF($L57="","",MIN($L57/$M57,0.95))</f>
        <v/>
      </c>
      <c r="O57" s="20" t="str">
        <f aca="false">IF($L57="","",$L57*Assumptions!$C$17*12/52)</f>
        <v/>
      </c>
      <c r="P57" s="22" t="str">
        <f aca="false">IF($L57="","",14*((2*Assumptions!$C$23*($N57*(1-$N57)+$N57*(1+Assumptions!$C$11)*(1-$N57*(1+Assumptions!$C$11)))/($N57*Assumptions!$C$11)^2/Assumptions!$C$14)/($M57*Assumptions!$C$24))^(1/Assumptions!$C$16)/7)</f>
        <v/>
      </c>
      <c r="Q57" s="22" t="str">
        <f aca="false">IF($L57="","",14*((2*Assumptions!$C$23*($N57*(1-$N57)+$N57*(1+Assumptions!$C$12)*(1-$N57*(1+Assumptions!$C$12)))/($N57*Assumptions!$C$12)^2/Assumptions!$C$14)/($M57*Assumptions!$C$24))^(1/Assumptions!$C$16)/7)</f>
        <v/>
      </c>
      <c r="R57" s="22" t="str">
        <f aca="false">IF($L57="","",14*((2*Assumptions!$C$23*($N57*(1-$N57)+$N57*(1+Assumptions!$C$13)*(1-$N57*(1+Assumptions!$C$13)))/($N57*Assumptions!$C$13)^2/Assumptions!$C$14)/($M57*Assumptions!$C$24))^(1/Assumptions!$C$16)/7)</f>
        <v/>
      </c>
      <c r="S57" s="23" t="str">
        <f aca="false">IF($L57="","",IF($P57&lt;=Assumptions!$C$9,"Tier 1",IF($P57&lt;=Assumptions!$C$10,"Tier 1 (3-wk)",IF($Q57&lt;=Assumptions!$C$10,"Tier 2",IF($R57&lt;=Assumptions!$C$10,"Tier 3",IF(AND($H57&lt;&gt;"",14*((2*Assumptions!$C$23*(MIN($H57*52/12/$M57,0.95)*(1-MIN($H57*52/12/$M57,0.95))+MIN($H57*52/12/$M57,0.95)*(1+Assumptions!$C$12)*(1-MIN($H57*52/12/$M57,0.95)*(1+Assumptions!$C$12)))/(MIN($H57*52/12/$M57,0.95)*Assumptions!$C$12)^2/Assumptions!$C$14)/($M57*Assumptions!$C$24))^(1/Assumptions!$C$16)/7&lt;=Assumptions!$C$10),"Not a fit — micro-conversion tests only","Not a fit"))))))</f>
        <v/>
      </c>
      <c r="T57" s="18" t="str">
        <f aca="false">IF($S57="","",IF(LEFT($S57,6)="Tier 1","Pursue — trial + fast programme: 5% lifts read in 2–3 weeks",IF($S57="Tier 2","Qualify — bold tests only (10%+ lifts); funnel-wide, 3-week reads",IF($S57="Tier 3","Deprioritise — only exceptional (20%) changes read in 3 weeks",IF($S57="Not a fit","Do not trial A/B — purchase tests cannot read in 3 weeks","Trial only if tests are scored on CTA clicks / leads, not purchases")))))</f>
        <v/>
      </c>
      <c r="U57" s="19" t="str">
        <f aca="false">IF($L57="","",$L57*Assumptions!$C$17*$K57*12/1000000)</f>
        <v/>
      </c>
    </row>
    <row r="58" customFormat="false" ht="15" hidden="false" customHeight="false" outlineLevel="0" collapsed="false">
      <c r="A58" s="14"/>
      <c r="B58" s="14"/>
      <c r="C58" s="15"/>
      <c r="D58" s="15"/>
      <c r="E58" s="16"/>
      <c r="F58" s="16"/>
      <c r="G58" s="17"/>
      <c r="H58" s="15"/>
      <c r="I58" s="14"/>
      <c r="J58" s="18" t="str">
        <f aca="false">IF($C58&lt;&gt;"","Actual orders",IF($E58&lt;&gt;"","Est. from revenue",IF($D58&lt;&gt;"","Est. from traffic × CVR","")))</f>
        <v/>
      </c>
      <c r="K58" s="19" t="n">
        <f aca="false">IF($F58&lt;&gt;"",$F58,IFERROR(INDEX(Assumptions!$D$28:$D$39,MATCH($B58,Assumptions!$B$28:$B$39,0)),Assumptions!$C$19))</f>
        <v>250</v>
      </c>
      <c r="L58" s="20" t="str">
        <f aca="false">IF($C58&lt;&gt;"",$C58/Assumptions!$C$17,IF($E58&lt;&gt;"",$E58*1000000/12/$K58/Assumptions!$C$17,IF($D58&lt;&gt;"",$D58*IF($G58&lt;&gt;"",$G58,IFERROR(INDEX(Assumptions!$C$28:$C$39,MATCH($B58,Assumptions!$B$28:$B$39,0)),Assumptions!$C$18)),"")))</f>
        <v/>
      </c>
      <c r="M58" s="20" t="str">
        <f aca="false">IF($L58="","",IF($D58&lt;&gt;"",$D58,$L58/IF($G58&lt;&gt;"",$G58,IFERROR(INDEX(Assumptions!$C$28:$C$39,MATCH($B58,Assumptions!$B$28:$B$39,0)),Assumptions!$C$18))))</f>
        <v/>
      </c>
      <c r="N58" s="21" t="str">
        <f aca="false">IF($L58="","",MIN($L58/$M58,0.95))</f>
        <v/>
      </c>
      <c r="O58" s="20" t="str">
        <f aca="false">IF($L58="","",$L58*Assumptions!$C$17*12/52)</f>
        <v/>
      </c>
      <c r="P58" s="22" t="str">
        <f aca="false">IF($L58="","",14*((2*Assumptions!$C$23*($N58*(1-$N58)+$N58*(1+Assumptions!$C$11)*(1-$N58*(1+Assumptions!$C$11)))/($N58*Assumptions!$C$11)^2/Assumptions!$C$14)/($M58*Assumptions!$C$24))^(1/Assumptions!$C$16)/7)</f>
        <v/>
      </c>
      <c r="Q58" s="22" t="str">
        <f aca="false">IF($L58="","",14*((2*Assumptions!$C$23*($N58*(1-$N58)+$N58*(1+Assumptions!$C$12)*(1-$N58*(1+Assumptions!$C$12)))/($N58*Assumptions!$C$12)^2/Assumptions!$C$14)/($M58*Assumptions!$C$24))^(1/Assumptions!$C$16)/7)</f>
        <v/>
      </c>
      <c r="R58" s="22" t="str">
        <f aca="false">IF($L58="","",14*((2*Assumptions!$C$23*($N58*(1-$N58)+$N58*(1+Assumptions!$C$13)*(1-$N58*(1+Assumptions!$C$13)))/($N58*Assumptions!$C$13)^2/Assumptions!$C$14)/($M58*Assumptions!$C$24))^(1/Assumptions!$C$16)/7)</f>
        <v/>
      </c>
      <c r="S58" s="23" t="str">
        <f aca="false">IF($L58="","",IF($P58&lt;=Assumptions!$C$9,"Tier 1",IF($P58&lt;=Assumptions!$C$10,"Tier 1 (3-wk)",IF($Q58&lt;=Assumptions!$C$10,"Tier 2",IF($R58&lt;=Assumptions!$C$10,"Tier 3",IF(AND($H58&lt;&gt;"",14*((2*Assumptions!$C$23*(MIN($H58*52/12/$M58,0.95)*(1-MIN($H58*52/12/$M58,0.95))+MIN($H58*52/12/$M58,0.95)*(1+Assumptions!$C$12)*(1-MIN($H58*52/12/$M58,0.95)*(1+Assumptions!$C$12)))/(MIN($H58*52/12/$M58,0.95)*Assumptions!$C$12)^2/Assumptions!$C$14)/($M58*Assumptions!$C$24))^(1/Assumptions!$C$16)/7&lt;=Assumptions!$C$10),"Not a fit — micro-conversion tests only","Not a fit"))))))</f>
        <v/>
      </c>
      <c r="T58" s="18" t="str">
        <f aca="false">IF($S58="","",IF(LEFT($S58,6)="Tier 1","Pursue — trial + fast programme: 5% lifts read in 2–3 weeks",IF($S58="Tier 2","Qualify — bold tests only (10%+ lifts); funnel-wide, 3-week reads",IF($S58="Tier 3","Deprioritise — only exceptional (20%) changes read in 3 weeks",IF($S58="Not a fit","Do not trial A/B — purchase tests cannot read in 3 weeks","Trial only if tests are scored on CTA clicks / leads, not purchases")))))</f>
        <v/>
      </c>
      <c r="U58" s="19" t="str">
        <f aca="false">IF($L58="","",$L58*Assumptions!$C$17*$K58*12/1000000)</f>
        <v/>
      </c>
    </row>
    <row r="59" customFormat="false" ht="15" hidden="false" customHeight="false" outlineLevel="0" collapsed="false">
      <c r="A59" s="14"/>
      <c r="B59" s="14"/>
      <c r="C59" s="15"/>
      <c r="D59" s="15"/>
      <c r="E59" s="16"/>
      <c r="F59" s="16"/>
      <c r="G59" s="17"/>
      <c r="H59" s="15"/>
      <c r="I59" s="14"/>
      <c r="J59" s="18" t="str">
        <f aca="false">IF($C59&lt;&gt;"","Actual orders",IF($E59&lt;&gt;"","Est. from revenue",IF($D59&lt;&gt;"","Est. from traffic × CVR","")))</f>
        <v/>
      </c>
      <c r="K59" s="19" t="n">
        <f aca="false">IF($F59&lt;&gt;"",$F59,IFERROR(INDEX(Assumptions!$D$28:$D$39,MATCH($B59,Assumptions!$B$28:$B$39,0)),Assumptions!$C$19))</f>
        <v>250</v>
      </c>
      <c r="L59" s="20" t="str">
        <f aca="false">IF($C59&lt;&gt;"",$C59/Assumptions!$C$17,IF($E59&lt;&gt;"",$E59*1000000/12/$K59/Assumptions!$C$17,IF($D59&lt;&gt;"",$D59*IF($G59&lt;&gt;"",$G59,IFERROR(INDEX(Assumptions!$C$28:$C$39,MATCH($B59,Assumptions!$B$28:$B$39,0)),Assumptions!$C$18)),"")))</f>
        <v/>
      </c>
      <c r="M59" s="20" t="str">
        <f aca="false">IF($L59="","",IF($D59&lt;&gt;"",$D59,$L59/IF($G59&lt;&gt;"",$G59,IFERROR(INDEX(Assumptions!$C$28:$C$39,MATCH($B59,Assumptions!$B$28:$B$39,0)),Assumptions!$C$18))))</f>
        <v/>
      </c>
      <c r="N59" s="21" t="str">
        <f aca="false">IF($L59="","",MIN($L59/$M59,0.95))</f>
        <v/>
      </c>
      <c r="O59" s="20" t="str">
        <f aca="false">IF($L59="","",$L59*Assumptions!$C$17*12/52)</f>
        <v/>
      </c>
      <c r="P59" s="22" t="str">
        <f aca="false">IF($L59="","",14*((2*Assumptions!$C$23*($N59*(1-$N59)+$N59*(1+Assumptions!$C$11)*(1-$N59*(1+Assumptions!$C$11)))/($N59*Assumptions!$C$11)^2/Assumptions!$C$14)/($M59*Assumptions!$C$24))^(1/Assumptions!$C$16)/7)</f>
        <v/>
      </c>
      <c r="Q59" s="22" t="str">
        <f aca="false">IF($L59="","",14*((2*Assumptions!$C$23*($N59*(1-$N59)+$N59*(1+Assumptions!$C$12)*(1-$N59*(1+Assumptions!$C$12)))/($N59*Assumptions!$C$12)^2/Assumptions!$C$14)/($M59*Assumptions!$C$24))^(1/Assumptions!$C$16)/7)</f>
        <v/>
      </c>
      <c r="R59" s="22" t="str">
        <f aca="false">IF($L59="","",14*((2*Assumptions!$C$23*($N59*(1-$N59)+$N59*(1+Assumptions!$C$13)*(1-$N59*(1+Assumptions!$C$13)))/($N59*Assumptions!$C$13)^2/Assumptions!$C$14)/($M59*Assumptions!$C$24))^(1/Assumptions!$C$16)/7)</f>
        <v/>
      </c>
      <c r="S59" s="23" t="str">
        <f aca="false">IF($L59="","",IF($P59&lt;=Assumptions!$C$9,"Tier 1",IF($P59&lt;=Assumptions!$C$10,"Tier 1 (3-wk)",IF($Q59&lt;=Assumptions!$C$10,"Tier 2",IF($R59&lt;=Assumptions!$C$10,"Tier 3",IF(AND($H59&lt;&gt;"",14*((2*Assumptions!$C$23*(MIN($H59*52/12/$M59,0.95)*(1-MIN($H59*52/12/$M59,0.95))+MIN($H59*52/12/$M59,0.95)*(1+Assumptions!$C$12)*(1-MIN($H59*52/12/$M59,0.95)*(1+Assumptions!$C$12)))/(MIN($H59*52/12/$M59,0.95)*Assumptions!$C$12)^2/Assumptions!$C$14)/($M59*Assumptions!$C$24))^(1/Assumptions!$C$16)/7&lt;=Assumptions!$C$10),"Not a fit — micro-conversion tests only","Not a fit"))))))</f>
        <v/>
      </c>
      <c r="T59" s="18" t="str">
        <f aca="false">IF($S59="","",IF(LEFT($S59,6)="Tier 1","Pursue — trial + fast programme: 5% lifts read in 2–3 weeks",IF($S59="Tier 2","Qualify — bold tests only (10%+ lifts); funnel-wide, 3-week reads",IF($S59="Tier 3","Deprioritise — only exceptional (20%) changes read in 3 weeks",IF($S59="Not a fit","Do not trial A/B — purchase tests cannot read in 3 weeks","Trial only if tests are scored on CTA clicks / leads, not purchases")))))</f>
        <v/>
      </c>
      <c r="U59" s="19" t="str">
        <f aca="false">IF($L59="","",$L59*Assumptions!$C$17*$K59*12/1000000)</f>
        <v/>
      </c>
    </row>
    <row r="60" customFormat="false" ht="15" hidden="false" customHeight="false" outlineLevel="0" collapsed="false">
      <c r="A60" s="14"/>
      <c r="B60" s="14"/>
      <c r="C60" s="15"/>
      <c r="D60" s="15"/>
      <c r="E60" s="16"/>
      <c r="F60" s="16"/>
      <c r="G60" s="17"/>
      <c r="H60" s="15"/>
      <c r="I60" s="14"/>
      <c r="J60" s="18" t="str">
        <f aca="false">IF($C60&lt;&gt;"","Actual orders",IF($E60&lt;&gt;"","Est. from revenue",IF($D60&lt;&gt;"","Est. from traffic × CVR","")))</f>
        <v/>
      </c>
      <c r="K60" s="19" t="n">
        <f aca="false">IF($F60&lt;&gt;"",$F60,IFERROR(INDEX(Assumptions!$D$28:$D$39,MATCH($B60,Assumptions!$B$28:$B$39,0)),Assumptions!$C$19))</f>
        <v>250</v>
      </c>
      <c r="L60" s="20" t="str">
        <f aca="false">IF($C60&lt;&gt;"",$C60/Assumptions!$C$17,IF($E60&lt;&gt;"",$E60*1000000/12/$K60/Assumptions!$C$17,IF($D60&lt;&gt;"",$D60*IF($G60&lt;&gt;"",$G60,IFERROR(INDEX(Assumptions!$C$28:$C$39,MATCH($B60,Assumptions!$B$28:$B$39,0)),Assumptions!$C$18)),"")))</f>
        <v/>
      </c>
      <c r="M60" s="20" t="str">
        <f aca="false">IF($L60="","",IF($D60&lt;&gt;"",$D60,$L60/IF($G60&lt;&gt;"",$G60,IFERROR(INDEX(Assumptions!$C$28:$C$39,MATCH($B60,Assumptions!$B$28:$B$39,0)),Assumptions!$C$18))))</f>
        <v/>
      </c>
      <c r="N60" s="21" t="str">
        <f aca="false">IF($L60="","",MIN($L60/$M60,0.95))</f>
        <v/>
      </c>
      <c r="O60" s="20" t="str">
        <f aca="false">IF($L60="","",$L60*Assumptions!$C$17*12/52)</f>
        <v/>
      </c>
      <c r="P60" s="22" t="str">
        <f aca="false">IF($L60="","",14*((2*Assumptions!$C$23*($N60*(1-$N60)+$N60*(1+Assumptions!$C$11)*(1-$N60*(1+Assumptions!$C$11)))/($N60*Assumptions!$C$11)^2/Assumptions!$C$14)/($M60*Assumptions!$C$24))^(1/Assumptions!$C$16)/7)</f>
        <v/>
      </c>
      <c r="Q60" s="22" t="str">
        <f aca="false">IF($L60="","",14*((2*Assumptions!$C$23*($N60*(1-$N60)+$N60*(1+Assumptions!$C$12)*(1-$N60*(1+Assumptions!$C$12)))/($N60*Assumptions!$C$12)^2/Assumptions!$C$14)/($M60*Assumptions!$C$24))^(1/Assumptions!$C$16)/7)</f>
        <v/>
      </c>
      <c r="R60" s="22" t="str">
        <f aca="false">IF($L60="","",14*((2*Assumptions!$C$23*($N60*(1-$N60)+$N60*(1+Assumptions!$C$13)*(1-$N60*(1+Assumptions!$C$13)))/($N60*Assumptions!$C$13)^2/Assumptions!$C$14)/($M60*Assumptions!$C$24))^(1/Assumptions!$C$16)/7)</f>
        <v/>
      </c>
      <c r="S60" s="23" t="str">
        <f aca="false">IF($L60="","",IF($P60&lt;=Assumptions!$C$9,"Tier 1",IF($P60&lt;=Assumptions!$C$10,"Tier 1 (3-wk)",IF($Q60&lt;=Assumptions!$C$10,"Tier 2",IF($R60&lt;=Assumptions!$C$10,"Tier 3",IF(AND($H60&lt;&gt;"",14*((2*Assumptions!$C$23*(MIN($H60*52/12/$M60,0.95)*(1-MIN($H60*52/12/$M60,0.95))+MIN($H60*52/12/$M60,0.95)*(1+Assumptions!$C$12)*(1-MIN($H60*52/12/$M60,0.95)*(1+Assumptions!$C$12)))/(MIN($H60*52/12/$M60,0.95)*Assumptions!$C$12)^2/Assumptions!$C$14)/($M60*Assumptions!$C$24))^(1/Assumptions!$C$16)/7&lt;=Assumptions!$C$10),"Not a fit — micro-conversion tests only","Not a fit"))))))</f>
        <v/>
      </c>
      <c r="T60" s="18" t="str">
        <f aca="false">IF($S60="","",IF(LEFT($S60,6)="Tier 1","Pursue — trial + fast programme: 5% lifts read in 2–3 weeks",IF($S60="Tier 2","Qualify — bold tests only (10%+ lifts); funnel-wide, 3-week reads",IF($S60="Tier 3","Deprioritise — only exceptional (20%) changes read in 3 weeks",IF($S60="Not a fit","Do not trial A/B — purchase tests cannot read in 3 weeks","Trial only if tests are scored on CTA clicks / leads, not purchases")))))</f>
        <v/>
      </c>
      <c r="U60" s="19" t="str">
        <f aca="false">IF($L60="","",$L60*Assumptions!$C$17*$K60*12/1000000)</f>
        <v/>
      </c>
    </row>
    <row r="61" customFormat="false" ht="15" hidden="false" customHeight="false" outlineLevel="0" collapsed="false">
      <c r="A61" s="14"/>
      <c r="B61" s="14"/>
      <c r="C61" s="15"/>
      <c r="D61" s="15"/>
      <c r="E61" s="16"/>
      <c r="F61" s="16"/>
      <c r="G61" s="17"/>
      <c r="H61" s="15"/>
      <c r="I61" s="14"/>
      <c r="J61" s="18" t="str">
        <f aca="false">IF($C61&lt;&gt;"","Actual orders",IF($E61&lt;&gt;"","Est. from revenue",IF($D61&lt;&gt;"","Est. from traffic × CVR","")))</f>
        <v/>
      </c>
      <c r="K61" s="19" t="n">
        <f aca="false">IF($F61&lt;&gt;"",$F61,IFERROR(INDEX(Assumptions!$D$28:$D$39,MATCH($B61,Assumptions!$B$28:$B$39,0)),Assumptions!$C$19))</f>
        <v>250</v>
      </c>
      <c r="L61" s="20" t="str">
        <f aca="false">IF($C61&lt;&gt;"",$C61/Assumptions!$C$17,IF($E61&lt;&gt;"",$E61*1000000/12/$K61/Assumptions!$C$17,IF($D61&lt;&gt;"",$D61*IF($G61&lt;&gt;"",$G61,IFERROR(INDEX(Assumptions!$C$28:$C$39,MATCH($B61,Assumptions!$B$28:$B$39,0)),Assumptions!$C$18)),"")))</f>
        <v/>
      </c>
      <c r="M61" s="20" t="str">
        <f aca="false">IF($L61="","",IF($D61&lt;&gt;"",$D61,$L61/IF($G61&lt;&gt;"",$G61,IFERROR(INDEX(Assumptions!$C$28:$C$39,MATCH($B61,Assumptions!$B$28:$B$39,0)),Assumptions!$C$18))))</f>
        <v/>
      </c>
      <c r="N61" s="21" t="str">
        <f aca="false">IF($L61="","",MIN($L61/$M61,0.95))</f>
        <v/>
      </c>
      <c r="O61" s="20" t="str">
        <f aca="false">IF($L61="","",$L61*Assumptions!$C$17*12/52)</f>
        <v/>
      </c>
      <c r="P61" s="22" t="str">
        <f aca="false">IF($L61="","",14*((2*Assumptions!$C$23*($N61*(1-$N61)+$N61*(1+Assumptions!$C$11)*(1-$N61*(1+Assumptions!$C$11)))/($N61*Assumptions!$C$11)^2/Assumptions!$C$14)/($M61*Assumptions!$C$24))^(1/Assumptions!$C$16)/7)</f>
        <v/>
      </c>
      <c r="Q61" s="22" t="str">
        <f aca="false">IF($L61="","",14*((2*Assumptions!$C$23*($N61*(1-$N61)+$N61*(1+Assumptions!$C$12)*(1-$N61*(1+Assumptions!$C$12)))/($N61*Assumptions!$C$12)^2/Assumptions!$C$14)/($M61*Assumptions!$C$24))^(1/Assumptions!$C$16)/7)</f>
        <v/>
      </c>
      <c r="R61" s="22" t="str">
        <f aca="false">IF($L61="","",14*((2*Assumptions!$C$23*($N61*(1-$N61)+$N61*(1+Assumptions!$C$13)*(1-$N61*(1+Assumptions!$C$13)))/($N61*Assumptions!$C$13)^2/Assumptions!$C$14)/($M61*Assumptions!$C$24))^(1/Assumptions!$C$16)/7)</f>
        <v/>
      </c>
      <c r="S61" s="23" t="str">
        <f aca="false">IF($L61="","",IF($P61&lt;=Assumptions!$C$9,"Tier 1",IF($P61&lt;=Assumptions!$C$10,"Tier 1 (3-wk)",IF($Q61&lt;=Assumptions!$C$10,"Tier 2",IF($R61&lt;=Assumptions!$C$10,"Tier 3",IF(AND($H61&lt;&gt;"",14*((2*Assumptions!$C$23*(MIN($H61*52/12/$M61,0.95)*(1-MIN($H61*52/12/$M61,0.95))+MIN($H61*52/12/$M61,0.95)*(1+Assumptions!$C$12)*(1-MIN($H61*52/12/$M61,0.95)*(1+Assumptions!$C$12)))/(MIN($H61*52/12/$M61,0.95)*Assumptions!$C$12)^2/Assumptions!$C$14)/($M61*Assumptions!$C$24))^(1/Assumptions!$C$16)/7&lt;=Assumptions!$C$10),"Not a fit — micro-conversion tests only","Not a fit"))))))</f>
        <v/>
      </c>
      <c r="T61" s="18" t="str">
        <f aca="false">IF($S61="","",IF(LEFT($S61,6)="Tier 1","Pursue — trial + fast programme: 5% lifts read in 2–3 weeks",IF($S61="Tier 2","Qualify — bold tests only (10%+ lifts); funnel-wide, 3-week reads",IF($S61="Tier 3","Deprioritise — only exceptional (20%) changes read in 3 weeks",IF($S61="Not a fit","Do not trial A/B — purchase tests cannot read in 3 weeks","Trial only if tests are scored on CTA clicks / leads, not purchases")))))</f>
        <v/>
      </c>
      <c r="U61" s="19" t="str">
        <f aca="false">IF($L61="","",$L61*Assumptions!$C$17*$K61*12/1000000)</f>
        <v/>
      </c>
    </row>
    <row r="62" customFormat="false" ht="15" hidden="false" customHeight="false" outlineLevel="0" collapsed="false">
      <c r="A62" s="14"/>
      <c r="B62" s="14"/>
      <c r="C62" s="15"/>
      <c r="D62" s="15"/>
      <c r="E62" s="16"/>
      <c r="F62" s="16"/>
      <c r="G62" s="17"/>
      <c r="H62" s="15"/>
      <c r="I62" s="14"/>
      <c r="J62" s="18" t="str">
        <f aca="false">IF($C62&lt;&gt;"","Actual orders",IF($E62&lt;&gt;"","Est. from revenue",IF($D62&lt;&gt;"","Est. from traffic × CVR","")))</f>
        <v/>
      </c>
      <c r="K62" s="19" t="n">
        <f aca="false">IF($F62&lt;&gt;"",$F62,IFERROR(INDEX(Assumptions!$D$28:$D$39,MATCH($B62,Assumptions!$B$28:$B$39,0)),Assumptions!$C$19))</f>
        <v>250</v>
      </c>
      <c r="L62" s="20" t="str">
        <f aca="false">IF($C62&lt;&gt;"",$C62/Assumptions!$C$17,IF($E62&lt;&gt;"",$E62*1000000/12/$K62/Assumptions!$C$17,IF($D62&lt;&gt;"",$D62*IF($G62&lt;&gt;"",$G62,IFERROR(INDEX(Assumptions!$C$28:$C$39,MATCH($B62,Assumptions!$B$28:$B$39,0)),Assumptions!$C$18)),"")))</f>
        <v/>
      </c>
      <c r="M62" s="20" t="str">
        <f aca="false">IF($L62="","",IF($D62&lt;&gt;"",$D62,$L62/IF($G62&lt;&gt;"",$G62,IFERROR(INDEX(Assumptions!$C$28:$C$39,MATCH($B62,Assumptions!$B$28:$B$39,0)),Assumptions!$C$18))))</f>
        <v/>
      </c>
      <c r="N62" s="21" t="str">
        <f aca="false">IF($L62="","",MIN($L62/$M62,0.95))</f>
        <v/>
      </c>
      <c r="O62" s="20" t="str">
        <f aca="false">IF($L62="","",$L62*Assumptions!$C$17*12/52)</f>
        <v/>
      </c>
      <c r="P62" s="22" t="str">
        <f aca="false">IF($L62="","",14*((2*Assumptions!$C$23*($N62*(1-$N62)+$N62*(1+Assumptions!$C$11)*(1-$N62*(1+Assumptions!$C$11)))/($N62*Assumptions!$C$11)^2/Assumptions!$C$14)/($M62*Assumptions!$C$24))^(1/Assumptions!$C$16)/7)</f>
        <v/>
      </c>
      <c r="Q62" s="22" t="str">
        <f aca="false">IF($L62="","",14*((2*Assumptions!$C$23*($N62*(1-$N62)+$N62*(1+Assumptions!$C$12)*(1-$N62*(1+Assumptions!$C$12)))/($N62*Assumptions!$C$12)^2/Assumptions!$C$14)/($M62*Assumptions!$C$24))^(1/Assumptions!$C$16)/7)</f>
        <v/>
      </c>
      <c r="R62" s="22" t="str">
        <f aca="false">IF($L62="","",14*((2*Assumptions!$C$23*($N62*(1-$N62)+$N62*(1+Assumptions!$C$13)*(1-$N62*(1+Assumptions!$C$13)))/($N62*Assumptions!$C$13)^2/Assumptions!$C$14)/($M62*Assumptions!$C$24))^(1/Assumptions!$C$16)/7)</f>
        <v/>
      </c>
      <c r="S62" s="23" t="str">
        <f aca="false">IF($L62="","",IF($P62&lt;=Assumptions!$C$9,"Tier 1",IF($P62&lt;=Assumptions!$C$10,"Tier 1 (3-wk)",IF($Q62&lt;=Assumptions!$C$10,"Tier 2",IF($R62&lt;=Assumptions!$C$10,"Tier 3",IF(AND($H62&lt;&gt;"",14*((2*Assumptions!$C$23*(MIN($H62*52/12/$M62,0.95)*(1-MIN($H62*52/12/$M62,0.95))+MIN($H62*52/12/$M62,0.95)*(1+Assumptions!$C$12)*(1-MIN($H62*52/12/$M62,0.95)*(1+Assumptions!$C$12)))/(MIN($H62*52/12/$M62,0.95)*Assumptions!$C$12)^2/Assumptions!$C$14)/($M62*Assumptions!$C$24))^(1/Assumptions!$C$16)/7&lt;=Assumptions!$C$10),"Not a fit — micro-conversion tests only","Not a fit"))))))</f>
        <v/>
      </c>
      <c r="T62" s="18" t="str">
        <f aca="false">IF($S62="","",IF(LEFT($S62,6)="Tier 1","Pursue — trial + fast programme: 5% lifts read in 2–3 weeks",IF($S62="Tier 2","Qualify — bold tests only (10%+ lifts); funnel-wide, 3-week reads",IF($S62="Tier 3","Deprioritise — only exceptional (20%) changes read in 3 weeks",IF($S62="Not a fit","Do not trial A/B — purchase tests cannot read in 3 weeks","Trial only if tests are scored on CTA clicks / leads, not purchases")))))</f>
        <v/>
      </c>
      <c r="U62" s="19" t="str">
        <f aca="false">IF($L62="","",$L62*Assumptions!$C$17*$K62*12/1000000)</f>
        <v/>
      </c>
    </row>
    <row r="63" customFormat="false" ht="15" hidden="false" customHeight="false" outlineLevel="0" collapsed="false">
      <c r="A63" s="14"/>
      <c r="B63" s="14"/>
      <c r="C63" s="15"/>
      <c r="D63" s="15"/>
      <c r="E63" s="16"/>
      <c r="F63" s="16"/>
      <c r="G63" s="17"/>
      <c r="H63" s="15"/>
      <c r="I63" s="14"/>
      <c r="J63" s="18" t="str">
        <f aca="false">IF($C63&lt;&gt;"","Actual orders",IF($E63&lt;&gt;"","Est. from revenue",IF($D63&lt;&gt;"","Est. from traffic × CVR","")))</f>
        <v/>
      </c>
      <c r="K63" s="19" t="n">
        <f aca="false">IF($F63&lt;&gt;"",$F63,IFERROR(INDEX(Assumptions!$D$28:$D$39,MATCH($B63,Assumptions!$B$28:$B$39,0)),Assumptions!$C$19))</f>
        <v>250</v>
      </c>
      <c r="L63" s="20" t="str">
        <f aca="false">IF($C63&lt;&gt;"",$C63/Assumptions!$C$17,IF($E63&lt;&gt;"",$E63*1000000/12/$K63/Assumptions!$C$17,IF($D63&lt;&gt;"",$D63*IF($G63&lt;&gt;"",$G63,IFERROR(INDEX(Assumptions!$C$28:$C$39,MATCH($B63,Assumptions!$B$28:$B$39,0)),Assumptions!$C$18)),"")))</f>
        <v/>
      </c>
      <c r="M63" s="20" t="str">
        <f aca="false">IF($L63="","",IF($D63&lt;&gt;"",$D63,$L63/IF($G63&lt;&gt;"",$G63,IFERROR(INDEX(Assumptions!$C$28:$C$39,MATCH($B63,Assumptions!$B$28:$B$39,0)),Assumptions!$C$18))))</f>
        <v/>
      </c>
      <c r="N63" s="21" t="str">
        <f aca="false">IF($L63="","",MIN($L63/$M63,0.95))</f>
        <v/>
      </c>
      <c r="O63" s="20" t="str">
        <f aca="false">IF($L63="","",$L63*Assumptions!$C$17*12/52)</f>
        <v/>
      </c>
      <c r="P63" s="22" t="str">
        <f aca="false">IF($L63="","",14*((2*Assumptions!$C$23*($N63*(1-$N63)+$N63*(1+Assumptions!$C$11)*(1-$N63*(1+Assumptions!$C$11)))/($N63*Assumptions!$C$11)^2/Assumptions!$C$14)/($M63*Assumptions!$C$24))^(1/Assumptions!$C$16)/7)</f>
        <v/>
      </c>
      <c r="Q63" s="22" t="str">
        <f aca="false">IF($L63="","",14*((2*Assumptions!$C$23*($N63*(1-$N63)+$N63*(1+Assumptions!$C$12)*(1-$N63*(1+Assumptions!$C$12)))/($N63*Assumptions!$C$12)^2/Assumptions!$C$14)/($M63*Assumptions!$C$24))^(1/Assumptions!$C$16)/7)</f>
        <v/>
      </c>
      <c r="R63" s="22" t="str">
        <f aca="false">IF($L63="","",14*((2*Assumptions!$C$23*($N63*(1-$N63)+$N63*(1+Assumptions!$C$13)*(1-$N63*(1+Assumptions!$C$13)))/($N63*Assumptions!$C$13)^2/Assumptions!$C$14)/($M63*Assumptions!$C$24))^(1/Assumptions!$C$16)/7)</f>
        <v/>
      </c>
      <c r="S63" s="23" t="str">
        <f aca="false">IF($L63="","",IF($P63&lt;=Assumptions!$C$9,"Tier 1",IF($P63&lt;=Assumptions!$C$10,"Tier 1 (3-wk)",IF($Q63&lt;=Assumptions!$C$10,"Tier 2",IF($R63&lt;=Assumptions!$C$10,"Tier 3",IF(AND($H63&lt;&gt;"",14*((2*Assumptions!$C$23*(MIN($H63*52/12/$M63,0.95)*(1-MIN($H63*52/12/$M63,0.95))+MIN($H63*52/12/$M63,0.95)*(1+Assumptions!$C$12)*(1-MIN($H63*52/12/$M63,0.95)*(1+Assumptions!$C$12)))/(MIN($H63*52/12/$M63,0.95)*Assumptions!$C$12)^2/Assumptions!$C$14)/($M63*Assumptions!$C$24))^(1/Assumptions!$C$16)/7&lt;=Assumptions!$C$10),"Not a fit — micro-conversion tests only","Not a fit"))))))</f>
        <v/>
      </c>
      <c r="T63" s="18" t="str">
        <f aca="false">IF($S63="","",IF(LEFT($S63,6)="Tier 1","Pursue — trial + fast programme: 5% lifts read in 2–3 weeks",IF($S63="Tier 2","Qualify — bold tests only (10%+ lifts); funnel-wide, 3-week reads",IF($S63="Tier 3","Deprioritise — only exceptional (20%) changes read in 3 weeks",IF($S63="Not a fit","Do not trial A/B — purchase tests cannot read in 3 weeks","Trial only if tests are scored on CTA clicks / leads, not purchases")))))</f>
        <v/>
      </c>
      <c r="U63" s="19" t="str">
        <f aca="false">IF($L63="","",$L63*Assumptions!$C$17*$K63*12/1000000)</f>
        <v/>
      </c>
    </row>
    <row r="64" customFormat="false" ht="15" hidden="false" customHeight="false" outlineLevel="0" collapsed="false">
      <c r="A64" s="14"/>
      <c r="B64" s="14"/>
      <c r="C64" s="15"/>
      <c r="D64" s="15"/>
      <c r="E64" s="16"/>
      <c r="F64" s="16"/>
      <c r="G64" s="17"/>
      <c r="H64" s="15"/>
      <c r="I64" s="14"/>
      <c r="J64" s="18" t="str">
        <f aca="false">IF($C64&lt;&gt;"","Actual orders",IF($E64&lt;&gt;"","Est. from revenue",IF($D64&lt;&gt;"","Est. from traffic × CVR","")))</f>
        <v/>
      </c>
      <c r="K64" s="19" t="n">
        <f aca="false">IF($F64&lt;&gt;"",$F64,IFERROR(INDEX(Assumptions!$D$28:$D$39,MATCH($B64,Assumptions!$B$28:$B$39,0)),Assumptions!$C$19))</f>
        <v>250</v>
      </c>
      <c r="L64" s="20" t="str">
        <f aca="false">IF($C64&lt;&gt;"",$C64/Assumptions!$C$17,IF($E64&lt;&gt;"",$E64*1000000/12/$K64/Assumptions!$C$17,IF($D64&lt;&gt;"",$D64*IF($G64&lt;&gt;"",$G64,IFERROR(INDEX(Assumptions!$C$28:$C$39,MATCH($B64,Assumptions!$B$28:$B$39,0)),Assumptions!$C$18)),"")))</f>
        <v/>
      </c>
      <c r="M64" s="20" t="str">
        <f aca="false">IF($L64="","",IF($D64&lt;&gt;"",$D64,$L64/IF($G64&lt;&gt;"",$G64,IFERROR(INDEX(Assumptions!$C$28:$C$39,MATCH($B64,Assumptions!$B$28:$B$39,0)),Assumptions!$C$18))))</f>
        <v/>
      </c>
      <c r="N64" s="21" t="str">
        <f aca="false">IF($L64="","",MIN($L64/$M64,0.95))</f>
        <v/>
      </c>
      <c r="O64" s="20" t="str">
        <f aca="false">IF($L64="","",$L64*Assumptions!$C$17*12/52)</f>
        <v/>
      </c>
      <c r="P64" s="22" t="str">
        <f aca="false">IF($L64="","",14*((2*Assumptions!$C$23*($N64*(1-$N64)+$N64*(1+Assumptions!$C$11)*(1-$N64*(1+Assumptions!$C$11)))/($N64*Assumptions!$C$11)^2/Assumptions!$C$14)/($M64*Assumptions!$C$24))^(1/Assumptions!$C$16)/7)</f>
        <v/>
      </c>
      <c r="Q64" s="22" t="str">
        <f aca="false">IF($L64="","",14*((2*Assumptions!$C$23*($N64*(1-$N64)+$N64*(1+Assumptions!$C$12)*(1-$N64*(1+Assumptions!$C$12)))/($N64*Assumptions!$C$12)^2/Assumptions!$C$14)/($M64*Assumptions!$C$24))^(1/Assumptions!$C$16)/7)</f>
        <v/>
      </c>
      <c r="R64" s="22" t="str">
        <f aca="false">IF($L64="","",14*((2*Assumptions!$C$23*($N64*(1-$N64)+$N64*(1+Assumptions!$C$13)*(1-$N64*(1+Assumptions!$C$13)))/($N64*Assumptions!$C$13)^2/Assumptions!$C$14)/($M64*Assumptions!$C$24))^(1/Assumptions!$C$16)/7)</f>
        <v/>
      </c>
      <c r="S64" s="23" t="str">
        <f aca="false">IF($L64="","",IF($P64&lt;=Assumptions!$C$9,"Tier 1",IF($P64&lt;=Assumptions!$C$10,"Tier 1 (3-wk)",IF($Q64&lt;=Assumptions!$C$10,"Tier 2",IF($R64&lt;=Assumptions!$C$10,"Tier 3",IF(AND($H64&lt;&gt;"",14*((2*Assumptions!$C$23*(MIN($H64*52/12/$M64,0.95)*(1-MIN($H64*52/12/$M64,0.95))+MIN($H64*52/12/$M64,0.95)*(1+Assumptions!$C$12)*(1-MIN($H64*52/12/$M64,0.95)*(1+Assumptions!$C$12)))/(MIN($H64*52/12/$M64,0.95)*Assumptions!$C$12)^2/Assumptions!$C$14)/($M64*Assumptions!$C$24))^(1/Assumptions!$C$16)/7&lt;=Assumptions!$C$10),"Not a fit — micro-conversion tests only","Not a fit"))))))</f>
        <v/>
      </c>
      <c r="T64" s="18" t="str">
        <f aca="false">IF($S64="","",IF(LEFT($S64,6)="Tier 1","Pursue — trial + fast programme: 5% lifts read in 2–3 weeks",IF($S64="Tier 2","Qualify — bold tests only (10%+ lifts); funnel-wide, 3-week reads",IF($S64="Tier 3","Deprioritise — only exceptional (20%) changes read in 3 weeks",IF($S64="Not a fit","Do not trial A/B — purchase tests cannot read in 3 weeks","Trial only if tests are scored on CTA clicks / leads, not purchases")))))</f>
        <v/>
      </c>
      <c r="U64" s="19" t="str">
        <f aca="false">IF($L64="","",$L64*Assumptions!$C$17*$K64*12/1000000)</f>
        <v/>
      </c>
    </row>
    <row r="65" customFormat="false" ht="15" hidden="false" customHeight="false" outlineLevel="0" collapsed="false">
      <c r="A65" s="14"/>
      <c r="B65" s="14"/>
      <c r="C65" s="15"/>
      <c r="D65" s="15"/>
      <c r="E65" s="16"/>
      <c r="F65" s="16"/>
      <c r="G65" s="17"/>
      <c r="H65" s="15"/>
      <c r="I65" s="14"/>
      <c r="J65" s="18" t="str">
        <f aca="false">IF($C65&lt;&gt;"","Actual orders",IF($E65&lt;&gt;"","Est. from revenue",IF($D65&lt;&gt;"","Est. from traffic × CVR","")))</f>
        <v/>
      </c>
      <c r="K65" s="19" t="n">
        <f aca="false">IF($F65&lt;&gt;"",$F65,IFERROR(INDEX(Assumptions!$D$28:$D$39,MATCH($B65,Assumptions!$B$28:$B$39,0)),Assumptions!$C$19))</f>
        <v>250</v>
      </c>
      <c r="L65" s="20" t="str">
        <f aca="false">IF($C65&lt;&gt;"",$C65/Assumptions!$C$17,IF($E65&lt;&gt;"",$E65*1000000/12/$K65/Assumptions!$C$17,IF($D65&lt;&gt;"",$D65*IF($G65&lt;&gt;"",$G65,IFERROR(INDEX(Assumptions!$C$28:$C$39,MATCH($B65,Assumptions!$B$28:$B$39,0)),Assumptions!$C$18)),"")))</f>
        <v/>
      </c>
      <c r="M65" s="20" t="str">
        <f aca="false">IF($L65="","",IF($D65&lt;&gt;"",$D65,$L65/IF($G65&lt;&gt;"",$G65,IFERROR(INDEX(Assumptions!$C$28:$C$39,MATCH($B65,Assumptions!$B$28:$B$39,0)),Assumptions!$C$18))))</f>
        <v/>
      </c>
      <c r="N65" s="21" t="str">
        <f aca="false">IF($L65="","",MIN($L65/$M65,0.95))</f>
        <v/>
      </c>
      <c r="O65" s="20" t="str">
        <f aca="false">IF($L65="","",$L65*Assumptions!$C$17*12/52)</f>
        <v/>
      </c>
      <c r="P65" s="22" t="str">
        <f aca="false">IF($L65="","",14*((2*Assumptions!$C$23*($N65*(1-$N65)+$N65*(1+Assumptions!$C$11)*(1-$N65*(1+Assumptions!$C$11)))/($N65*Assumptions!$C$11)^2/Assumptions!$C$14)/($M65*Assumptions!$C$24))^(1/Assumptions!$C$16)/7)</f>
        <v/>
      </c>
      <c r="Q65" s="22" t="str">
        <f aca="false">IF($L65="","",14*((2*Assumptions!$C$23*($N65*(1-$N65)+$N65*(1+Assumptions!$C$12)*(1-$N65*(1+Assumptions!$C$12)))/($N65*Assumptions!$C$12)^2/Assumptions!$C$14)/($M65*Assumptions!$C$24))^(1/Assumptions!$C$16)/7)</f>
        <v/>
      </c>
      <c r="R65" s="22" t="str">
        <f aca="false">IF($L65="","",14*((2*Assumptions!$C$23*($N65*(1-$N65)+$N65*(1+Assumptions!$C$13)*(1-$N65*(1+Assumptions!$C$13)))/($N65*Assumptions!$C$13)^2/Assumptions!$C$14)/($M65*Assumptions!$C$24))^(1/Assumptions!$C$16)/7)</f>
        <v/>
      </c>
      <c r="S65" s="23" t="str">
        <f aca="false">IF($L65="","",IF($P65&lt;=Assumptions!$C$9,"Tier 1",IF($P65&lt;=Assumptions!$C$10,"Tier 1 (3-wk)",IF($Q65&lt;=Assumptions!$C$10,"Tier 2",IF($R65&lt;=Assumptions!$C$10,"Tier 3",IF(AND($H65&lt;&gt;"",14*((2*Assumptions!$C$23*(MIN($H65*52/12/$M65,0.95)*(1-MIN($H65*52/12/$M65,0.95))+MIN($H65*52/12/$M65,0.95)*(1+Assumptions!$C$12)*(1-MIN($H65*52/12/$M65,0.95)*(1+Assumptions!$C$12)))/(MIN($H65*52/12/$M65,0.95)*Assumptions!$C$12)^2/Assumptions!$C$14)/($M65*Assumptions!$C$24))^(1/Assumptions!$C$16)/7&lt;=Assumptions!$C$10),"Not a fit — micro-conversion tests only","Not a fit"))))))</f>
        <v/>
      </c>
      <c r="T65" s="18" t="str">
        <f aca="false">IF($S65="","",IF(LEFT($S65,6)="Tier 1","Pursue — trial + fast programme: 5% lifts read in 2–3 weeks",IF($S65="Tier 2","Qualify — bold tests only (10%+ lifts); funnel-wide, 3-week reads",IF($S65="Tier 3","Deprioritise — only exceptional (20%) changes read in 3 weeks",IF($S65="Not a fit","Do not trial A/B — purchase tests cannot read in 3 weeks","Trial only if tests are scored on CTA clicks / leads, not purchases")))))</f>
        <v/>
      </c>
      <c r="U65" s="19" t="str">
        <f aca="false">IF($L65="","",$L65*Assumptions!$C$17*$K65*12/1000000)</f>
        <v/>
      </c>
    </row>
    <row r="66" customFormat="false" ht="15" hidden="false" customHeight="false" outlineLevel="0" collapsed="false">
      <c r="A66" s="14"/>
      <c r="B66" s="14"/>
      <c r="C66" s="15"/>
      <c r="D66" s="15"/>
      <c r="E66" s="16"/>
      <c r="F66" s="16"/>
      <c r="G66" s="17"/>
      <c r="H66" s="15"/>
      <c r="I66" s="14"/>
      <c r="J66" s="18" t="str">
        <f aca="false">IF($C66&lt;&gt;"","Actual orders",IF($E66&lt;&gt;"","Est. from revenue",IF($D66&lt;&gt;"","Est. from traffic × CVR","")))</f>
        <v/>
      </c>
      <c r="K66" s="19" t="n">
        <f aca="false">IF($F66&lt;&gt;"",$F66,IFERROR(INDEX(Assumptions!$D$28:$D$39,MATCH($B66,Assumptions!$B$28:$B$39,0)),Assumptions!$C$19))</f>
        <v>250</v>
      </c>
      <c r="L66" s="20" t="str">
        <f aca="false">IF($C66&lt;&gt;"",$C66/Assumptions!$C$17,IF($E66&lt;&gt;"",$E66*1000000/12/$K66/Assumptions!$C$17,IF($D66&lt;&gt;"",$D66*IF($G66&lt;&gt;"",$G66,IFERROR(INDEX(Assumptions!$C$28:$C$39,MATCH($B66,Assumptions!$B$28:$B$39,0)),Assumptions!$C$18)),"")))</f>
        <v/>
      </c>
      <c r="M66" s="20" t="str">
        <f aca="false">IF($L66="","",IF($D66&lt;&gt;"",$D66,$L66/IF($G66&lt;&gt;"",$G66,IFERROR(INDEX(Assumptions!$C$28:$C$39,MATCH($B66,Assumptions!$B$28:$B$39,0)),Assumptions!$C$18))))</f>
        <v/>
      </c>
      <c r="N66" s="21" t="str">
        <f aca="false">IF($L66="","",MIN($L66/$M66,0.95))</f>
        <v/>
      </c>
      <c r="O66" s="20" t="str">
        <f aca="false">IF($L66="","",$L66*Assumptions!$C$17*12/52)</f>
        <v/>
      </c>
      <c r="P66" s="22" t="str">
        <f aca="false">IF($L66="","",14*((2*Assumptions!$C$23*($N66*(1-$N66)+$N66*(1+Assumptions!$C$11)*(1-$N66*(1+Assumptions!$C$11)))/($N66*Assumptions!$C$11)^2/Assumptions!$C$14)/($M66*Assumptions!$C$24))^(1/Assumptions!$C$16)/7)</f>
        <v/>
      </c>
      <c r="Q66" s="22" t="str">
        <f aca="false">IF($L66="","",14*((2*Assumptions!$C$23*($N66*(1-$N66)+$N66*(1+Assumptions!$C$12)*(1-$N66*(1+Assumptions!$C$12)))/($N66*Assumptions!$C$12)^2/Assumptions!$C$14)/($M66*Assumptions!$C$24))^(1/Assumptions!$C$16)/7)</f>
        <v/>
      </c>
      <c r="R66" s="22" t="str">
        <f aca="false">IF($L66="","",14*((2*Assumptions!$C$23*($N66*(1-$N66)+$N66*(1+Assumptions!$C$13)*(1-$N66*(1+Assumptions!$C$13)))/($N66*Assumptions!$C$13)^2/Assumptions!$C$14)/($M66*Assumptions!$C$24))^(1/Assumptions!$C$16)/7)</f>
        <v/>
      </c>
      <c r="S66" s="23" t="str">
        <f aca="false">IF($L66="","",IF($P66&lt;=Assumptions!$C$9,"Tier 1",IF($P66&lt;=Assumptions!$C$10,"Tier 1 (3-wk)",IF($Q66&lt;=Assumptions!$C$10,"Tier 2",IF($R66&lt;=Assumptions!$C$10,"Tier 3",IF(AND($H66&lt;&gt;"",14*((2*Assumptions!$C$23*(MIN($H66*52/12/$M66,0.95)*(1-MIN($H66*52/12/$M66,0.95))+MIN($H66*52/12/$M66,0.95)*(1+Assumptions!$C$12)*(1-MIN($H66*52/12/$M66,0.95)*(1+Assumptions!$C$12)))/(MIN($H66*52/12/$M66,0.95)*Assumptions!$C$12)^2/Assumptions!$C$14)/($M66*Assumptions!$C$24))^(1/Assumptions!$C$16)/7&lt;=Assumptions!$C$10),"Not a fit — micro-conversion tests only","Not a fit"))))))</f>
        <v/>
      </c>
      <c r="T66" s="18" t="str">
        <f aca="false">IF($S66="","",IF(LEFT($S66,6)="Tier 1","Pursue — trial + fast programme: 5% lifts read in 2–3 weeks",IF($S66="Tier 2","Qualify — bold tests only (10%+ lifts); funnel-wide, 3-week reads",IF($S66="Tier 3","Deprioritise — only exceptional (20%) changes read in 3 weeks",IF($S66="Not a fit","Do not trial A/B — purchase tests cannot read in 3 weeks","Trial only if tests are scored on CTA clicks / leads, not purchases")))))</f>
        <v/>
      </c>
      <c r="U66" s="19" t="str">
        <f aca="false">IF($L66="","",$L66*Assumptions!$C$17*$K66*12/1000000)</f>
        <v/>
      </c>
    </row>
    <row r="67" customFormat="false" ht="15" hidden="false" customHeight="false" outlineLevel="0" collapsed="false">
      <c r="A67" s="14"/>
      <c r="B67" s="14"/>
      <c r="C67" s="15"/>
      <c r="D67" s="15"/>
      <c r="E67" s="16"/>
      <c r="F67" s="16"/>
      <c r="G67" s="17"/>
      <c r="H67" s="15"/>
      <c r="I67" s="14"/>
      <c r="J67" s="18" t="str">
        <f aca="false">IF($C67&lt;&gt;"","Actual orders",IF($E67&lt;&gt;"","Est. from revenue",IF($D67&lt;&gt;"","Est. from traffic × CVR","")))</f>
        <v/>
      </c>
      <c r="K67" s="19" t="n">
        <f aca="false">IF($F67&lt;&gt;"",$F67,IFERROR(INDEX(Assumptions!$D$28:$D$39,MATCH($B67,Assumptions!$B$28:$B$39,0)),Assumptions!$C$19))</f>
        <v>250</v>
      </c>
      <c r="L67" s="20" t="str">
        <f aca="false">IF($C67&lt;&gt;"",$C67/Assumptions!$C$17,IF($E67&lt;&gt;"",$E67*1000000/12/$K67/Assumptions!$C$17,IF($D67&lt;&gt;"",$D67*IF($G67&lt;&gt;"",$G67,IFERROR(INDEX(Assumptions!$C$28:$C$39,MATCH($B67,Assumptions!$B$28:$B$39,0)),Assumptions!$C$18)),"")))</f>
        <v/>
      </c>
      <c r="M67" s="20" t="str">
        <f aca="false">IF($L67="","",IF($D67&lt;&gt;"",$D67,$L67/IF($G67&lt;&gt;"",$G67,IFERROR(INDEX(Assumptions!$C$28:$C$39,MATCH($B67,Assumptions!$B$28:$B$39,0)),Assumptions!$C$18))))</f>
        <v/>
      </c>
      <c r="N67" s="21" t="str">
        <f aca="false">IF($L67="","",MIN($L67/$M67,0.95))</f>
        <v/>
      </c>
      <c r="O67" s="20" t="str">
        <f aca="false">IF($L67="","",$L67*Assumptions!$C$17*12/52)</f>
        <v/>
      </c>
      <c r="P67" s="22" t="str">
        <f aca="false">IF($L67="","",14*((2*Assumptions!$C$23*($N67*(1-$N67)+$N67*(1+Assumptions!$C$11)*(1-$N67*(1+Assumptions!$C$11)))/($N67*Assumptions!$C$11)^2/Assumptions!$C$14)/($M67*Assumptions!$C$24))^(1/Assumptions!$C$16)/7)</f>
        <v/>
      </c>
      <c r="Q67" s="22" t="str">
        <f aca="false">IF($L67="","",14*((2*Assumptions!$C$23*($N67*(1-$N67)+$N67*(1+Assumptions!$C$12)*(1-$N67*(1+Assumptions!$C$12)))/($N67*Assumptions!$C$12)^2/Assumptions!$C$14)/($M67*Assumptions!$C$24))^(1/Assumptions!$C$16)/7)</f>
        <v/>
      </c>
      <c r="R67" s="22" t="str">
        <f aca="false">IF($L67="","",14*((2*Assumptions!$C$23*($N67*(1-$N67)+$N67*(1+Assumptions!$C$13)*(1-$N67*(1+Assumptions!$C$13)))/($N67*Assumptions!$C$13)^2/Assumptions!$C$14)/($M67*Assumptions!$C$24))^(1/Assumptions!$C$16)/7)</f>
        <v/>
      </c>
      <c r="S67" s="23" t="str">
        <f aca="false">IF($L67="","",IF($P67&lt;=Assumptions!$C$9,"Tier 1",IF($P67&lt;=Assumptions!$C$10,"Tier 1 (3-wk)",IF($Q67&lt;=Assumptions!$C$10,"Tier 2",IF($R67&lt;=Assumptions!$C$10,"Tier 3",IF(AND($H67&lt;&gt;"",14*((2*Assumptions!$C$23*(MIN($H67*52/12/$M67,0.95)*(1-MIN($H67*52/12/$M67,0.95))+MIN($H67*52/12/$M67,0.95)*(1+Assumptions!$C$12)*(1-MIN($H67*52/12/$M67,0.95)*(1+Assumptions!$C$12)))/(MIN($H67*52/12/$M67,0.95)*Assumptions!$C$12)^2/Assumptions!$C$14)/($M67*Assumptions!$C$24))^(1/Assumptions!$C$16)/7&lt;=Assumptions!$C$10),"Not a fit — micro-conversion tests only","Not a fit"))))))</f>
        <v/>
      </c>
      <c r="T67" s="18" t="str">
        <f aca="false">IF($S67="","",IF(LEFT($S67,6)="Tier 1","Pursue — trial + fast programme: 5% lifts read in 2–3 weeks",IF($S67="Tier 2","Qualify — bold tests only (10%+ lifts); funnel-wide, 3-week reads",IF($S67="Tier 3","Deprioritise — only exceptional (20%) changes read in 3 weeks",IF($S67="Not a fit","Do not trial A/B — purchase tests cannot read in 3 weeks","Trial only if tests are scored on CTA clicks / leads, not purchases")))))</f>
        <v/>
      </c>
      <c r="U67" s="19" t="str">
        <f aca="false">IF($L67="","",$L67*Assumptions!$C$17*$K67*12/1000000)</f>
        <v/>
      </c>
    </row>
    <row r="68" customFormat="false" ht="15" hidden="false" customHeight="false" outlineLevel="0" collapsed="false">
      <c r="A68" s="14"/>
      <c r="B68" s="14"/>
      <c r="C68" s="15"/>
      <c r="D68" s="15"/>
      <c r="E68" s="16"/>
      <c r="F68" s="16"/>
      <c r="G68" s="17"/>
      <c r="H68" s="15"/>
      <c r="I68" s="14"/>
      <c r="J68" s="18" t="str">
        <f aca="false">IF($C68&lt;&gt;"","Actual orders",IF($E68&lt;&gt;"","Est. from revenue",IF($D68&lt;&gt;"","Est. from traffic × CVR","")))</f>
        <v/>
      </c>
      <c r="K68" s="19" t="n">
        <f aca="false">IF($F68&lt;&gt;"",$F68,IFERROR(INDEX(Assumptions!$D$28:$D$39,MATCH($B68,Assumptions!$B$28:$B$39,0)),Assumptions!$C$19))</f>
        <v>250</v>
      </c>
      <c r="L68" s="20" t="str">
        <f aca="false">IF($C68&lt;&gt;"",$C68/Assumptions!$C$17,IF($E68&lt;&gt;"",$E68*1000000/12/$K68/Assumptions!$C$17,IF($D68&lt;&gt;"",$D68*IF($G68&lt;&gt;"",$G68,IFERROR(INDEX(Assumptions!$C$28:$C$39,MATCH($B68,Assumptions!$B$28:$B$39,0)),Assumptions!$C$18)),"")))</f>
        <v/>
      </c>
      <c r="M68" s="20" t="str">
        <f aca="false">IF($L68="","",IF($D68&lt;&gt;"",$D68,$L68/IF($G68&lt;&gt;"",$G68,IFERROR(INDEX(Assumptions!$C$28:$C$39,MATCH($B68,Assumptions!$B$28:$B$39,0)),Assumptions!$C$18))))</f>
        <v/>
      </c>
      <c r="N68" s="21" t="str">
        <f aca="false">IF($L68="","",MIN($L68/$M68,0.95))</f>
        <v/>
      </c>
      <c r="O68" s="20" t="str">
        <f aca="false">IF($L68="","",$L68*Assumptions!$C$17*12/52)</f>
        <v/>
      </c>
      <c r="P68" s="22" t="str">
        <f aca="false">IF($L68="","",14*((2*Assumptions!$C$23*($N68*(1-$N68)+$N68*(1+Assumptions!$C$11)*(1-$N68*(1+Assumptions!$C$11)))/($N68*Assumptions!$C$11)^2/Assumptions!$C$14)/($M68*Assumptions!$C$24))^(1/Assumptions!$C$16)/7)</f>
        <v/>
      </c>
      <c r="Q68" s="22" t="str">
        <f aca="false">IF($L68="","",14*((2*Assumptions!$C$23*($N68*(1-$N68)+$N68*(1+Assumptions!$C$12)*(1-$N68*(1+Assumptions!$C$12)))/($N68*Assumptions!$C$12)^2/Assumptions!$C$14)/($M68*Assumptions!$C$24))^(1/Assumptions!$C$16)/7)</f>
        <v/>
      </c>
      <c r="R68" s="22" t="str">
        <f aca="false">IF($L68="","",14*((2*Assumptions!$C$23*($N68*(1-$N68)+$N68*(1+Assumptions!$C$13)*(1-$N68*(1+Assumptions!$C$13)))/($N68*Assumptions!$C$13)^2/Assumptions!$C$14)/($M68*Assumptions!$C$24))^(1/Assumptions!$C$16)/7)</f>
        <v/>
      </c>
      <c r="S68" s="23" t="str">
        <f aca="false">IF($L68="","",IF($P68&lt;=Assumptions!$C$9,"Tier 1",IF($P68&lt;=Assumptions!$C$10,"Tier 1 (3-wk)",IF($Q68&lt;=Assumptions!$C$10,"Tier 2",IF($R68&lt;=Assumptions!$C$10,"Tier 3",IF(AND($H68&lt;&gt;"",14*((2*Assumptions!$C$23*(MIN($H68*52/12/$M68,0.95)*(1-MIN($H68*52/12/$M68,0.95))+MIN($H68*52/12/$M68,0.95)*(1+Assumptions!$C$12)*(1-MIN($H68*52/12/$M68,0.95)*(1+Assumptions!$C$12)))/(MIN($H68*52/12/$M68,0.95)*Assumptions!$C$12)^2/Assumptions!$C$14)/($M68*Assumptions!$C$24))^(1/Assumptions!$C$16)/7&lt;=Assumptions!$C$10),"Not a fit — micro-conversion tests only","Not a fit"))))))</f>
        <v/>
      </c>
      <c r="T68" s="18" t="str">
        <f aca="false">IF($S68="","",IF(LEFT($S68,6)="Tier 1","Pursue — trial + fast programme: 5% lifts read in 2–3 weeks",IF($S68="Tier 2","Qualify — bold tests only (10%+ lifts); funnel-wide, 3-week reads",IF($S68="Tier 3","Deprioritise — only exceptional (20%) changes read in 3 weeks",IF($S68="Not a fit","Do not trial A/B — purchase tests cannot read in 3 weeks","Trial only if tests are scored on CTA clicks / leads, not purchases")))))</f>
        <v/>
      </c>
      <c r="U68" s="19" t="str">
        <f aca="false">IF($L68="","",$L68*Assumptions!$C$17*$K68*12/1000000)</f>
        <v/>
      </c>
    </row>
    <row r="69" customFormat="false" ht="15" hidden="false" customHeight="false" outlineLevel="0" collapsed="false">
      <c r="A69" s="14"/>
      <c r="B69" s="14"/>
      <c r="C69" s="15"/>
      <c r="D69" s="15"/>
      <c r="E69" s="16"/>
      <c r="F69" s="16"/>
      <c r="G69" s="17"/>
      <c r="H69" s="15"/>
      <c r="I69" s="14"/>
      <c r="J69" s="18" t="str">
        <f aca="false">IF($C69&lt;&gt;"","Actual orders",IF($E69&lt;&gt;"","Est. from revenue",IF($D69&lt;&gt;"","Est. from traffic × CVR","")))</f>
        <v/>
      </c>
      <c r="K69" s="19" t="n">
        <f aca="false">IF($F69&lt;&gt;"",$F69,IFERROR(INDEX(Assumptions!$D$28:$D$39,MATCH($B69,Assumptions!$B$28:$B$39,0)),Assumptions!$C$19))</f>
        <v>250</v>
      </c>
      <c r="L69" s="20" t="str">
        <f aca="false">IF($C69&lt;&gt;"",$C69/Assumptions!$C$17,IF($E69&lt;&gt;"",$E69*1000000/12/$K69/Assumptions!$C$17,IF($D69&lt;&gt;"",$D69*IF($G69&lt;&gt;"",$G69,IFERROR(INDEX(Assumptions!$C$28:$C$39,MATCH($B69,Assumptions!$B$28:$B$39,0)),Assumptions!$C$18)),"")))</f>
        <v/>
      </c>
      <c r="M69" s="20" t="str">
        <f aca="false">IF($L69="","",IF($D69&lt;&gt;"",$D69,$L69/IF($G69&lt;&gt;"",$G69,IFERROR(INDEX(Assumptions!$C$28:$C$39,MATCH($B69,Assumptions!$B$28:$B$39,0)),Assumptions!$C$18))))</f>
        <v/>
      </c>
      <c r="N69" s="21" t="str">
        <f aca="false">IF($L69="","",MIN($L69/$M69,0.95))</f>
        <v/>
      </c>
      <c r="O69" s="20" t="str">
        <f aca="false">IF($L69="","",$L69*Assumptions!$C$17*12/52)</f>
        <v/>
      </c>
      <c r="P69" s="22" t="str">
        <f aca="false">IF($L69="","",14*((2*Assumptions!$C$23*($N69*(1-$N69)+$N69*(1+Assumptions!$C$11)*(1-$N69*(1+Assumptions!$C$11)))/($N69*Assumptions!$C$11)^2/Assumptions!$C$14)/($M69*Assumptions!$C$24))^(1/Assumptions!$C$16)/7)</f>
        <v/>
      </c>
      <c r="Q69" s="22" t="str">
        <f aca="false">IF($L69="","",14*((2*Assumptions!$C$23*($N69*(1-$N69)+$N69*(1+Assumptions!$C$12)*(1-$N69*(1+Assumptions!$C$12)))/($N69*Assumptions!$C$12)^2/Assumptions!$C$14)/($M69*Assumptions!$C$24))^(1/Assumptions!$C$16)/7)</f>
        <v/>
      </c>
      <c r="R69" s="22" t="str">
        <f aca="false">IF($L69="","",14*((2*Assumptions!$C$23*($N69*(1-$N69)+$N69*(1+Assumptions!$C$13)*(1-$N69*(1+Assumptions!$C$13)))/($N69*Assumptions!$C$13)^2/Assumptions!$C$14)/($M69*Assumptions!$C$24))^(1/Assumptions!$C$16)/7)</f>
        <v/>
      </c>
      <c r="S69" s="23" t="str">
        <f aca="false">IF($L69="","",IF($P69&lt;=Assumptions!$C$9,"Tier 1",IF($P69&lt;=Assumptions!$C$10,"Tier 1 (3-wk)",IF($Q69&lt;=Assumptions!$C$10,"Tier 2",IF($R69&lt;=Assumptions!$C$10,"Tier 3",IF(AND($H69&lt;&gt;"",14*((2*Assumptions!$C$23*(MIN($H69*52/12/$M69,0.95)*(1-MIN($H69*52/12/$M69,0.95))+MIN($H69*52/12/$M69,0.95)*(1+Assumptions!$C$12)*(1-MIN($H69*52/12/$M69,0.95)*(1+Assumptions!$C$12)))/(MIN($H69*52/12/$M69,0.95)*Assumptions!$C$12)^2/Assumptions!$C$14)/($M69*Assumptions!$C$24))^(1/Assumptions!$C$16)/7&lt;=Assumptions!$C$10),"Not a fit — micro-conversion tests only","Not a fit"))))))</f>
        <v/>
      </c>
      <c r="T69" s="18" t="str">
        <f aca="false">IF($S69="","",IF(LEFT($S69,6)="Tier 1","Pursue — trial + fast programme: 5% lifts read in 2–3 weeks",IF($S69="Tier 2","Qualify — bold tests only (10%+ lifts); funnel-wide, 3-week reads",IF($S69="Tier 3","Deprioritise — only exceptional (20%) changes read in 3 weeks",IF($S69="Not a fit","Do not trial A/B — purchase tests cannot read in 3 weeks","Trial only if tests are scored on CTA clicks / leads, not purchases")))))</f>
        <v/>
      </c>
      <c r="U69" s="19" t="str">
        <f aca="false">IF($L69="","",$L69*Assumptions!$C$17*$K69*12/1000000)</f>
        <v/>
      </c>
    </row>
    <row r="70" customFormat="false" ht="15" hidden="false" customHeight="false" outlineLevel="0" collapsed="false">
      <c r="A70" s="14"/>
      <c r="B70" s="14"/>
      <c r="C70" s="15"/>
      <c r="D70" s="15"/>
      <c r="E70" s="16"/>
      <c r="F70" s="16"/>
      <c r="G70" s="17"/>
      <c r="H70" s="15"/>
      <c r="I70" s="14"/>
      <c r="J70" s="18" t="str">
        <f aca="false">IF($C70&lt;&gt;"","Actual orders",IF($E70&lt;&gt;"","Est. from revenue",IF($D70&lt;&gt;"","Est. from traffic × CVR","")))</f>
        <v/>
      </c>
      <c r="K70" s="19" t="n">
        <f aca="false">IF($F70&lt;&gt;"",$F70,IFERROR(INDEX(Assumptions!$D$28:$D$39,MATCH($B70,Assumptions!$B$28:$B$39,0)),Assumptions!$C$19))</f>
        <v>250</v>
      </c>
      <c r="L70" s="20" t="str">
        <f aca="false">IF($C70&lt;&gt;"",$C70/Assumptions!$C$17,IF($E70&lt;&gt;"",$E70*1000000/12/$K70/Assumptions!$C$17,IF($D70&lt;&gt;"",$D70*IF($G70&lt;&gt;"",$G70,IFERROR(INDEX(Assumptions!$C$28:$C$39,MATCH($B70,Assumptions!$B$28:$B$39,0)),Assumptions!$C$18)),"")))</f>
        <v/>
      </c>
      <c r="M70" s="20" t="str">
        <f aca="false">IF($L70="","",IF($D70&lt;&gt;"",$D70,$L70/IF($G70&lt;&gt;"",$G70,IFERROR(INDEX(Assumptions!$C$28:$C$39,MATCH($B70,Assumptions!$B$28:$B$39,0)),Assumptions!$C$18))))</f>
        <v/>
      </c>
      <c r="N70" s="21" t="str">
        <f aca="false">IF($L70="","",MIN($L70/$M70,0.95))</f>
        <v/>
      </c>
      <c r="O70" s="20" t="str">
        <f aca="false">IF($L70="","",$L70*Assumptions!$C$17*12/52)</f>
        <v/>
      </c>
      <c r="P70" s="22" t="str">
        <f aca="false">IF($L70="","",14*((2*Assumptions!$C$23*($N70*(1-$N70)+$N70*(1+Assumptions!$C$11)*(1-$N70*(1+Assumptions!$C$11)))/($N70*Assumptions!$C$11)^2/Assumptions!$C$14)/($M70*Assumptions!$C$24))^(1/Assumptions!$C$16)/7)</f>
        <v/>
      </c>
      <c r="Q70" s="22" t="str">
        <f aca="false">IF($L70="","",14*((2*Assumptions!$C$23*($N70*(1-$N70)+$N70*(1+Assumptions!$C$12)*(1-$N70*(1+Assumptions!$C$12)))/($N70*Assumptions!$C$12)^2/Assumptions!$C$14)/($M70*Assumptions!$C$24))^(1/Assumptions!$C$16)/7)</f>
        <v/>
      </c>
      <c r="R70" s="22" t="str">
        <f aca="false">IF($L70="","",14*((2*Assumptions!$C$23*($N70*(1-$N70)+$N70*(1+Assumptions!$C$13)*(1-$N70*(1+Assumptions!$C$13)))/($N70*Assumptions!$C$13)^2/Assumptions!$C$14)/($M70*Assumptions!$C$24))^(1/Assumptions!$C$16)/7)</f>
        <v/>
      </c>
      <c r="S70" s="23" t="str">
        <f aca="false">IF($L70="","",IF($P70&lt;=Assumptions!$C$9,"Tier 1",IF($P70&lt;=Assumptions!$C$10,"Tier 1 (3-wk)",IF($Q70&lt;=Assumptions!$C$10,"Tier 2",IF($R70&lt;=Assumptions!$C$10,"Tier 3",IF(AND($H70&lt;&gt;"",14*((2*Assumptions!$C$23*(MIN($H70*52/12/$M70,0.95)*(1-MIN($H70*52/12/$M70,0.95))+MIN($H70*52/12/$M70,0.95)*(1+Assumptions!$C$12)*(1-MIN($H70*52/12/$M70,0.95)*(1+Assumptions!$C$12)))/(MIN($H70*52/12/$M70,0.95)*Assumptions!$C$12)^2/Assumptions!$C$14)/($M70*Assumptions!$C$24))^(1/Assumptions!$C$16)/7&lt;=Assumptions!$C$10),"Not a fit — micro-conversion tests only","Not a fit"))))))</f>
        <v/>
      </c>
      <c r="T70" s="18" t="str">
        <f aca="false">IF($S70="","",IF(LEFT($S70,6)="Tier 1","Pursue — trial + fast programme: 5% lifts read in 2–3 weeks",IF($S70="Tier 2","Qualify — bold tests only (10%+ lifts); funnel-wide, 3-week reads",IF($S70="Tier 3","Deprioritise — only exceptional (20%) changes read in 3 weeks",IF($S70="Not a fit","Do not trial A/B — purchase tests cannot read in 3 weeks","Trial only if tests are scored on CTA clicks / leads, not purchases")))))</f>
        <v/>
      </c>
      <c r="U70" s="19" t="str">
        <f aca="false">IF($L70="","",$L70*Assumptions!$C$17*$K70*12/1000000)</f>
        <v/>
      </c>
    </row>
    <row r="71" customFormat="false" ht="15" hidden="false" customHeight="false" outlineLevel="0" collapsed="false">
      <c r="A71" s="14"/>
      <c r="B71" s="14"/>
      <c r="C71" s="15"/>
      <c r="D71" s="15"/>
      <c r="E71" s="16"/>
      <c r="F71" s="16"/>
      <c r="G71" s="17"/>
      <c r="H71" s="15"/>
      <c r="I71" s="14"/>
      <c r="J71" s="18" t="str">
        <f aca="false">IF($C71&lt;&gt;"","Actual orders",IF($E71&lt;&gt;"","Est. from revenue",IF($D71&lt;&gt;"","Est. from traffic × CVR","")))</f>
        <v/>
      </c>
      <c r="K71" s="19" t="n">
        <f aca="false">IF($F71&lt;&gt;"",$F71,IFERROR(INDEX(Assumptions!$D$28:$D$39,MATCH($B71,Assumptions!$B$28:$B$39,0)),Assumptions!$C$19))</f>
        <v>250</v>
      </c>
      <c r="L71" s="20" t="str">
        <f aca="false">IF($C71&lt;&gt;"",$C71/Assumptions!$C$17,IF($E71&lt;&gt;"",$E71*1000000/12/$K71/Assumptions!$C$17,IF($D71&lt;&gt;"",$D71*IF($G71&lt;&gt;"",$G71,IFERROR(INDEX(Assumptions!$C$28:$C$39,MATCH($B71,Assumptions!$B$28:$B$39,0)),Assumptions!$C$18)),"")))</f>
        <v/>
      </c>
      <c r="M71" s="20" t="str">
        <f aca="false">IF($L71="","",IF($D71&lt;&gt;"",$D71,$L71/IF($G71&lt;&gt;"",$G71,IFERROR(INDEX(Assumptions!$C$28:$C$39,MATCH($B71,Assumptions!$B$28:$B$39,0)),Assumptions!$C$18))))</f>
        <v/>
      </c>
      <c r="N71" s="21" t="str">
        <f aca="false">IF($L71="","",MIN($L71/$M71,0.95))</f>
        <v/>
      </c>
      <c r="O71" s="20" t="str">
        <f aca="false">IF($L71="","",$L71*Assumptions!$C$17*12/52)</f>
        <v/>
      </c>
      <c r="P71" s="22" t="str">
        <f aca="false">IF($L71="","",14*((2*Assumptions!$C$23*($N71*(1-$N71)+$N71*(1+Assumptions!$C$11)*(1-$N71*(1+Assumptions!$C$11)))/($N71*Assumptions!$C$11)^2/Assumptions!$C$14)/($M71*Assumptions!$C$24))^(1/Assumptions!$C$16)/7)</f>
        <v/>
      </c>
      <c r="Q71" s="22" t="str">
        <f aca="false">IF($L71="","",14*((2*Assumptions!$C$23*($N71*(1-$N71)+$N71*(1+Assumptions!$C$12)*(1-$N71*(1+Assumptions!$C$12)))/($N71*Assumptions!$C$12)^2/Assumptions!$C$14)/($M71*Assumptions!$C$24))^(1/Assumptions!$C$16)/7)</f>
        <v/>
      </c>
      <c r="R71" s="22" t="str">
        <f aca="false">IF($L71="","",14*((2*Assumptions!$C$23*($N71*(1-$N71)+$N71*(1+Assumptions!$C$13)*(1-$N71*(1+Assumptions!$C$13)))/($N71*Assumptions!$C$13)^2/Assumptions!$C$14)/($M71*Assumptions!$C$24))^(1/Assumptions!$C$16)/7)</f>
        <v/>
      </c>
      <c r="S71" s="23" t="str">
        <f aca="false">IF($L71="","",IF($P71&lt;=Assumptions!$C$9,"Tier 1",IF($P71&lt;=Assumptions!$C$10,"Tier 1 (3-wk)",IF($Q71&lt;=Assumptions!$C$10,"Tier 2",IF($R71&lt;=Assumptions!$C$10,"Tier 3",IF(AND($H71&lt;&gt;"",14*((2*Assumptions!$C$23*(MIN($H71*52/12/$M71,0.95)*(1-MIN($H71*52/12/$M71,0.95))+MIN($H71*52/12/$M71,0.95)*(1+Assumptions!$C$12)*(1-MIN($H71*52/12/$M71,0.95)*(1+Assumptions!$C$12)))/(MIN($H71*52/12/$M71,0.95)*Assumptions!$C$12)^2/Assumptions!$C$14)/($M71*Assumptions!$C$24))^(1/Assumptions!$C$16)/7&lt;=Assumptions!$C$10),"Not a fit — micro-conversion tests only","Not a fit"))))))</f>
        <v/>
      </c>
      <c r="T71" s="18" t="str">
        <f aca="false">IF($S71="","",IF(LEFT($S71,6)="Tier 1","Pursue — trial + fast programme: 5% lifts read in 2–3 weeks",IF($S71="Tier 2","Qualify — bold tests only (10%+ lifts); funnel-wide, 3-week reads",IF($S71="Tier 3","Deprioritise — only exceptional (20%) changes read in 3 weeks",IF($S71="Not a fit","Do not trial A/B — purchase tests cannot read in 3 weeks","Trial only if tests are scored on CTA clicks / leads, not purchases")))))</f>
        <v/>
      </c>
      <c r="U71" s="19" t="str">
        <f aca="false">IF($L71="","",$L71*Assumptions!$C$17*$K71*12/1000000)</f>
        <v/>
      </c>
    </row>
    <row r="72" customFormat="false" ht="15" hidden="false" customHeight="false" outlineLevel="0" collapsed="false">
      <c r="A72" s="14"/>
      <c r="B72" s="14"/>
      <c r="C72" s="15"/>
      <c r="D72" s="15"/>
      <c r="E72" s="16"/>
      <c r="F72" s="16"/>
      <c r="G72" s="17"/>
      <c r="H72" s="15"/>
      <c r="I72" s="14"/>
      <c r="J72" s="18" t="str">
        <f aca="false">IF($C72&lt;&gt;"","Actual orders",IF($E72&lt;&gt;"","Est. from revenue",IF($D72&lt;&gt;"","Est. from traffic × CVR","")))</f>
        <v/>
      </c>
      <c r="K72" s="19" t="n">
        <f aca="false">IF($F72&lt;&gt;"",$F72,IFERROR(INDEX(Assumptions!$D$28:$D$39,MATCH($B72,Assumptions!$B$28:$B$39,0)),Assumptions!$C$19))</f>
        <v>250</v>
      </c>
      <c r="L72" s="20" t="str">
        <f aca="false">IF($C72&lt;&gt;"",$C72/Assumptions!$C$17,IF($E72&lt;&gt;"",$E72*1000000/12/$K72/Assumptions!$C$17,IF($D72&lt;&gt;"",$D72*IF($G72&lt;&gt;"",$G72,IFERROR(INDEX(Assumptions!$C$28:$C$39,MATCH($B72,Assumptions!$B$28:$B$39,0)),Assumptions!$C$18)),"")))</f>
        <v/>
      </c>
      <c r="M72" s="20" t="str">
        <f aca="false">IF($L72="","",IF($D72&lt;&gt;"",$D72,$L72/IF($G72&lt;&gt;"",$G72,IFERROR(INDEX(Assumptions!$C$28:$C$39,MATCH($B72,Assumptions!$B$28:$B$39,0)),Assumptions!$C$18))))</f>
        <v/>
      </c>
      <c r="N72" s="21" t="str">
        <f aca="false">IF($L72="","",MIN($L72/$M72,0.95))</f>
        <v/>
      </c>
      <c r="O72" s="20" t="str">
        <f aca="false">IF($L72="","",$L72*Assumptions!$C$17*12/52)</f>
        <v/>
      </c>
      <c r="P72" s="22" t="str">
        <f aca="false">IF($L72="","",14*((2*Assumptions!$C$23*($N72*(1-$N72)+$N72*(1+Assumptions!$C$11)*(1-$N72*(1+Assumptions!$C$11)))/($N72*Assumptions!$C$11)^2/Assumptions!$C$14)/($M72*Assumptions!$C$24))^(1/Assumptions!$C$16)/7)</f>
        <v/>
      </c>
      <c r="Q72" s="22" t="str">
        <f aca="false">IF($L72="","",14*((2*Assumptions!$C$23*($N72*(1-$N72)+$N72*(1+Assumptions!$C$12)*(1-$N72*(1+Assumptions!$C$12)))/($N72*Assumptions!$C$12)^2/Assumptions!$C$14)/($M72*Assumptions!$C$24))^(1/Assumptions!$C$16)/7)</f>
        <v/>
      </c>
      <c r="R72" s="22" t="str">
        <f aca="false">IF($L72="","",14*((2*Assumptions!$C$23*($N72*(1-$N72)+$N72*(1+Assumptions!$C$13)*(1-$N72*(1+Assumptions!$C$13)))/($N72*Assumptions!$C$13)^2/Assumptions!$C$14)/($M72*Assumptions!$C$24))^(1/Assumptions!$C$16)/7)</f>
        <v/>
      </c>
      <c r="S72" s="23" t="str">
        <f aca="false">IF($L72="","",IF($P72&lt;=Assumptions!$C$9,"Tier 1",IF($P72&lt;=Assumptions!$C$10,"Tier 1 (3-wk)",IF($Q72&lt;=Assumptions!$C$10,"Tier 2",IF($R72&lt;=Assumptions!$C$10,"Tier 3",IF(AND($H72&lt;&gt;"",14*((2*Assumptions!$C$23*(MIN($H72*52/12/$M72,0.95)*(1-MIN($H72*52/12/$M72,0.95))+MIN($H72*52/12/$M72,0.95)*(1+Assumptions!$C$12)*(1-MIN($H72*52/12/$M72,0.95)*(1+Assumptions!$C$12)))/(MIN($H72*52/12/$M72,0.95)*Assumptions!$C$12)^2/Assumptions!$C$14)/($M72*Assumptions!$C$24))^(1/Assumptions!$C$16)/7&lt;=Assumptions!$C$10),"Not a fit — micro-conversion tests only","Not a fit"))))))</f>
        <v/>
      </c>
      <c r="T72" s="18" t="str">
        <f aca="false">IF($S72="","",IF(LEFT($S72,6)="Tier 1","Pursue — trial + fast programme: 5% lifts read in 2–3 weeks",IF($S72="Tier 2","Qualify — bold tests only (10%+ lifts); funnel-wide, 3-week reads",IF($S72="Tier 3","Deprioritise — only exceptional (20%) changes read in 3 weeks",IF($S72="Not a fit","Do not trial A/B — purchase tests cannot read in 3 weeks","Trial only if tests are scored on CTA clicks / leads, not purchases")))))</f>
        <v/>
      </c>
      <c r="U72" s="19" t="str">
        <f aca="false">IF($L72="","",$L72*Assumptions!$C$17*$K72*12/1000000)</f>
        <v/>
      </c>
    </row>
    <row r="73" customFormat="false" ht="15" hidden="false" customHeight="false" outlineLevel="0" collapsed="false">
      <c r="A73" s="14"/>
      <c r="B73" s="14"/>
      <c r="C73" s="15"/>
      <c r="D73" s="15"/>
      <c r="E73" s="16"/>
      <c r="F73" s="16"/>
      <c r="G73" s="17"/>
      <c r="H73" s="15"/>
      <c r="I73" s="14"/>
      <c r="J73" s="18" t="str">
        <f aca="false">IF($C73&lt;&gt;"","Actual orders",IF($E73&lt;&gt;"","Est. from revenue",IF($D73&lt;&gt;"","Est. from traffic × CVR","")))</f>
        <v/>
      </c>
      <c r="K73" s="19" t="n">
        <f aca="false">IF($F73&lt;&gt;"",$F73,IFERROR(INDEX(Assumptions!$D$28:$D$39,MATCH($B73,Assumptions!$B$28:$B$39,0)),Assumptions!$C$19))</f>
        <v>250</v>
      </c>
      <c r="L73" s="20" t="str">
        <f aca="false">IF($C73&lt;&gt;"",$C73/Assumptions!$C$17,IF($E73&lt;&gt;"",$E73*1000000/12/$K73/Assumptions!$C$17,IF($D73&lt;&gt;"",$D73*IF($G73&lt;&gt;"",$G73,IFERROR(INDEX(Assumptions!$C$28:$C$39,MATCH($B73,Assumptions!$B$28:$B$39,0)),Assumptions!$C$18)),"")))</f>
        <v/>
      </c>
      <c r="M73" s="20" t="str">
        <f aca="false">IF($L73="","",IF($D73&lt;&gt;"",$D73,$L73/IF($G73&lt;&gt;"",$G73,IFERROR(INDEX(Assumptions!$C$28:$C$39,MATCH($B73,Assumptions!$B$28:$B$39,0)),Assumptions!$C$18))))</f>
        <v/>
      </c>
      <c r="N73" s="21" t="str">
        <f aca="false">IF($L73="","",MIN($L73/$M73,0.95))</f>
        <v/>
      </c>
      <c r="O73" s="20" t="str">
        <f aca="false">IF($L73="","",$L73*Assumptions!$C$17*12/52)</f>
        <v/>
      </c>
      <c r="P73" s="22" t="str">
        <f aca="false">IF($L73="","",14*((2*Assumptions!$C$23*($N73*(1-$N73)+$N73*(1+Assumptions!$C$11)*(1-$N73*(1+Assumptions!$C$11)))/($N73*Assumptions!$C$11)^2/Assumptions!$C$14)/($M73*Assumptions!$C$24))^(1/Assumptions!$C$16)/7)</f>
        <v/>
      </c>
      <c r="Q73" s="22" t="str">
        <f aca="false">IF($L73="","",14*((2*Assumptions!$C$23*($N73*(1-$N73)+$N73*(1+Assumptions!$C$12)*(1-$N73*(1+Assumptions!$C$12)))/($N73*Assumptions!$C$12)^2/Assumptions!$C$14)/($M73*Assumptions!$C$24))^(1/Assumptions!$C$16)/7)</f>
        <v/>
      </c>
      <c r="R73" s="22" t="str">
        <f aca="false">IF($L73="","",14*((2*Assumptions!$C$23*($N73*(1-$N73)+$N73*(1+Assumptions!$C$13)*(1-$N73*(1+Assumptions!$C$13)))/($N73*Assumptions!$C$13)^2/Assumptions!$C$14)/($M73*Assumptions!$C$24))^(1/Assumptions!$C$16)/7)</f>
        <v/>
      </c>
      <c r="S73" s="23" t="str">
        <f aca="false">IF($L73="","",IF($P73&lt;=Assumptions!$C$9,"Tier 1",IF($P73&lt;=Assumptions!$C$10,"Tier 1 (3-wk)",IF($Q73&lt;=Assumptions!$C$10,"Tier 2",IF($R73&lt;=Assumptions!$C$10,"Tier 3",IF(AND($H73&lt;&gt;"",14*((2*Assumptions!$C$23*(MIN($H73*52/12/$M73,0.95)*(1-MIN($H73*52/12/$M73,0.95))+MIN($H73*52/12/$M73,0.95)*(1+Assumptions!$C$12)*(1-MIN($H73*52/12/$M73,0.95)*(1+Assumptions!$C$12)))/(MIN($H73*52/12/$M73,0.95)*Assumptions!$C$12)^2/Assumptions!$C$14)/($M73*Assumptions!$C$24))^(1/Assumptions!$C$16)/7&lt;=Assumptions!$C$10),"Not a fit — micro-conversion tests only","Not a fit"))))))</f>
        <v/>
      </c>
      <c r="T73" s="18" t="str">
        <f aca="false">IF($S73="","",IF(LEFT($S73,6)="Tier 1","Pursue — trial + fast programme: 5% lifts read in 2–3 weeks",IF($S73="Tier 2","Qualify — bold tests only (10%+ lifts); funnel-wide, 3-week reads",IF($S73="Tier 3","Deprioritise — only exceptional (20%) changes read in 3 weeks",IF($S73="Not a fit","Do not trial A/B — purchase tests cannot read in 3 weeks","Trial only if tests are scored on CTA clicks / leads, not purchases")))))</f>
        <v/>
      </c>
      <c r="U73" s="19" t="str">
        <f aca="false">IF($L73="","",$L73*Assumptions!$C$17*$K73*12/1000000)</f>
        <v/>
      </c>
    </row>
    <row r="74" customFormat="false" ht="15" hidden="false" customHeight="false" outlineLevel="0" collapsed="false">
      <c r="A74" s="14"/>
      <c r="B74" s="14"/>
      <c r="C74" s="15"/>
      <c r="D74" s="15"/>
      <c r="E74" s="16"/>
      <c r="F74" s="16"/>
      <c r="G74" s="17"/>
      <c r="H74" s="15"/>
      <c r="I74" s="14"/>
      <c r="J74" s="18" t="str">
        <f aca="false">IF($C74&lt;&gt;"","Actual orders",IF($E74&lt;&gt;"","Est. from revenue",IF($D74&lt;&gt;"","Est. from traffic × CVR","")))</f>
        <v/>
      </c>
      <c r="K74" s="19" t="n">
        <f aca="false">IF($F74&lt;&gt;"",$F74,IFERROR(INDEX(Assumptions!$D$28:$D$39,MATCH($B74,Assumptions!$B$28:$B$39,0)),Assumptions!$C$19))</f>
        <v>250</v>
      </c>
      <c r="L74" s="20" t="str">
        <f aca="false">IF($C74&lt;&gt;"",$C74/Assumptions!$C$17,IF($E74&lt;&gt;"",$E74*1000000/12/$K74/Assumptions!$C$17,IF($D74&lt;&gt;"",$D74*IF($G74&lt;&gt;"",$G74,IFERROR(INDEX(Assumptions!$C$28:$C$39,MATCH($B74,Assumptions!$B$28:$B$39,0)),Assumptions!$C$18)),"")))</f>
        <v/>
      </c>
      <c r="M74" s="20" t="str">
        <f aca="false">IF($L74="","",IF($D74&lt;&gt;"",$D74,$L74/IF($G74&lt;&gt;"",$G74,IFERROR(INDEX(Assumptions!$C$28:$C$39,MATCH($B74,Assumptions!$B$28:$B$39,0)),Assumptions!$C$18))))</f>
        <v/>
      </c>
      <c r="N74" s="21" t="str">
        <f aca="false">IF($L74="","",MIN($L74/$M74,0.95))</f>
        <v/>
      </c>
      <c r="O74" s="20" t="str">
        <f aca="false">IF($L74="","",$L74*Assumptions!$C$17*12/52)</f>
        <v/>
      </c>
      <c r="P74" s="22" t="str">
        <f aca="false">IF($L74="","",14*((2*Assumptions!$C$23*($N74*(1-$N74)+$N74*(1+Assumptions!$C$11)*(1-$N74*(1+Assumptions!$C$11)))/($N74*Assumptions!$C$11)^2/Assumptions!$C$14)/($M74*Assumptions!$C$24))^(1/Assumptions!$C$16)/7)</f>
        <v/>
      </c>
      <c r="Q74" s="22" t="str">
        <f aca="false">IF($L74="","",14*((2*Assumptions!$C$23*($N74*(1-$N74)+$N74*(1+Assumptions!$C$12)*(1-$N74*(1+Assumptions!$C$12)))/($N74*Assumptions!$C$12)^2/Assumptions!$C$14)/($M74*Assumptions!$C$24))^(1/Assumptions!$C$16)/7)</f>
        <v/>
      </c>
      <c r="R74" s="22" t="str">
        <f aca="false">IF($L74="","",14*((2*Assumptions!$C$23*($N74*(1-$N74)+$N74*(1+Assumptions!$C$13)*(1-$N74*(1+Assumptions!$C$13)))/($N74*Assumptions!$C$13)^2/Assumptions!$C$14)/($M74*Assumptions!$C$24))^(1/Assumptions!$C$16)/7)</f>
        <v/>
      </c>
      <c r="S74" s="23" t="str">
        <f aca="false">IF($L74="","",IF($P74&lt;=Assumptions!$C$9,"Tier 1",IF($P74&lt;=Assumptions!$C$10,"Tier 1 (3-wk)",IF($Q74&lt;=Assumptions!$C$10,"Tier 2",IF($R74&lt;=Assumptions!$C$10,"Tier 3",IF(AND($H74&lt;&gt;"",14*((2*Assumptions!$C$23*(MIN($H74*52/12/$M74,0.95)*(1-MIN($H74*52/12/$M74,0.95))+MIN($H74*52/12/$M74,0.95)*(1+Assumptions!$C$12)*(1-MIN($H74*52/12/$M74,0.95)*(1+Assumptions!$C$12)))/(MIN($H74*52/12/$M74,0.95)*Assumptions!$C$12)^2/Assumptions!$C$14)/($M74*Assumptions!$C$24))^(1/Assumptions!$C$16)/7&lt;=Assumptions!$C$10),"Not a fit — micro-conversion tests only","Not a fit"))))))</f>
        <v/>
      </c>
      <c r="T74" s="18" t="str">
        <f aca="false">IF($S74="","",IF(LEFT($S74,6)="Tier 1","Pursue — trial + fast programme: 5% lifts read in 2–3 weeks",IF($S74="Tier 2","Qualify — bold tests only (10%+ lifts); funnel-wide, 3-week reads",IF($S74="Tier 3","Deprioritise — only exceptional (20%) changes read in 3 weeks",IF($S74="Not a fit","Do not trial A/B — purchase tests cannot read in 3 weeks","Trial only if tests are scored on CTA clicks / leads, not purchases")))))</f>
        <v/>
      </c>
      <c r="U74" s="19" t="str">
        <f aca="false">IF($L74="","",$L74*Assumptions!$C$17*$K74*12/1000000)</f>
        <v/>
      </c>
    </row>
    <row r="75" customFormat="false" ht="15" hidden="false" customHeight="false" outlineLevel="0" collapsed="false">
      <c r="A75" s="14"/>
      <c r="B75" s="14"/>
      <c r="C75" s="15"/>
      <c r="D75" s="15"/>
      <c r="E75" s="16"/>
      <c r="F75" s="16"/>
      <c r="G75" s="17"/>
      <c r="H75" s="15"/>
      <c r="I75" s="14"/>
      <c r="J75" s="18" t="str">
        <f aca="false">IF($C75&lt;&gt;"","Actual orders",IF($E75&lt;&gt;"","Est. from revenue",IF($D75&lt;&gt;"","Est. from traffic × CVR","")))</f>
        <v/>
      </c>
      <c r="K75" s="19" t="n">
        <f aca="false">IF($F75&lt;&gt;"",$F75,IFERROR(INDEX(Assumptions!$D$28:$D$39,MATCH($B75,Assumptions!$B$28:$B$39,0)),Assumptions!$C$19))</f>
        <v>250</v>
      </c>
      <c r="L75" s="20" t="str">
        <f aca="false">IF($C75&lt;&gt;"",$C75/Assumptions!$C$17,IF($E75&lt;&gt;"",$E75*1000000/12/$K75/Assumptions!$C$17,IF($D75&lt;&gt;"",$D75*IF($G75&lt;&gt;"",$G75,IFERROR(INDEX(Assumptions!$C$28:$C$39,MATCH($B75,Assumptions!$B$28:$B$39,0)),Assumptions!$C$18)),"")))</f>
        <v/>
      </c>
      <c r="M75" s="20" t="str">
        <f aca="false">IF($L75="","",IF($D75&lt;&gt;"",$D75,$L75/IF($G75&lt;&gt;"",$G75,IFERROR(INDEX(Assumptions!$C$28:$C$39,MATCH($B75,Assumptions!$B$28:$B$39,0)),Assumptions!$C$18))))</f>
        <v/>
      </c>
      <c r="N75" s="21" t="str">
        <f aca="false">IF($L75="","",MIN($L75/$M75,0.95))</f>
        <v/>
      </c>
      <c r="O75" s="20" t="str">
        <f aca="false">IF($L75="","",$L75*Assumptions!$C$17*12/52)</f>
        <v/>
      </c>
      <c r="P75" s="22" t="str">
        <f aca="false">IF($L75="","",14*((2*Assumptions!$C$23*($N75*(1-$N75)+$N75*(1+Assumptions!$C$11)*(1-$N75*(1+Assumptions!$C$11)))/($N75*Assumptions!$C$11)^2/Assumptions!$C$14)/($M75*Assumptions!$C$24))^(1/Assumptions!$C$16)/7)</f>
        <v/>
      </c>
      <c r="Q75" s="22" t="str">
        <f aca="false">IF($L75="","",14*((2*Assumptions!$C$23*($N75*(1-$N75)+$N75*(1+Assumptions!$C$12)*(1-$N75*(1+Assumptions!$C$12)))/($N75*Assumptions!$C$12)^2/Assumptions!$C$14)/($M75*Assumptions!$C$24))^(1/Assumptions!$C$16)/7)</f>
        <v/>
      </c>
      <c r="R75" s="22" t="str">
        <f aca="false">IF($L75="","",14*((2*Assumptions!$C$23*($N75*(1-$N75)+$N75*(1+Assumptions!$C$13)*(1-$N75*(1+Assumptions!$C$13)))/($N75*Assumptions!$C$13)^2/Assumptions!$C$14)/($M75*Assumptions!$C$24))^(1/Assumptions!$C$16)/7)</f>
        <v/>
      </c>
      <c r="S75" s="23" t="str">
        <f aca="false">IF($L75="","",IF($P75&lt;=Assumptions!$C$9,"Tier 1",IF($P75&lt;=Assumptions!$C$10,"Tier 1 (3-wk)",IF($Q75&lt;=Assumptions!$C$10,"Tier 2",IF($R75&lt;=Assumptions!$C$10,"Tier 3",IF(AND($H75&lt;&gt;"",14*((2*Assumptions!$C$23*(MIN($H75*52/12/$M75,0.95)*(1-MIN($H75*52/12/$M75,0.95))+MIN($H75*52/12/$M75,0.95)*(1+Assumptions!$C$12)*(1-MIN($H75*52/12/$M75,0.95)*(1+Assumptions!$C$12)))/(MIN($H75*52/12/$M75,0.95)*Assumptions!$C$12)^2/Assumptions!$C$14)/($M75*Assumptions!$C$24))^(1/Assumptions!$C$16)/7&lt;=Assumptions!$C$10),"Not a fit — micro-conversion tests only","Not a fit"))))))</f>
        <v/>
      </c>
      <c r="T75" s="18" t="str">
        <f aca="false">IF($S75="","",IF(LEFT($S75,6)="Tier 1","Pursue — trial + fast programme: 5% lifts read in 2–3 weeks",IF($S75="Tier 2","Qualify — bold tests only (10%+ lifts); funnel-wide, 3-week reads",IF($S75="Tier 3","Deprioritise — only exceptional (20%) changes read in 3 weeks",IF($S75="Not a fit","Do not trial A/B — purchase tests cannot read in 3 weeks","Trial only if tests are scored on CTA clicks / leads, not purchases")))))</f>
        <v/>
      </c>
      <c r="U75" s="19" t="str">
        <f aca="false">IF($L75="","",$L75*Assumptions!$C$17*$K75*12/1000000)</f>
        <v/>
      </c>
    </row>
    <row r="76" customFormat="false" ht="15" hidden="false" customHeight="false" outlineLevel="0" collapsed="false">
      <c r="A76" s="14"/>
      <c r="B76" s="14"/>
      <c r="C76" s="15"/>
      <c r="D76" s="15"/>
      <c r="E76" s="16"/>
      <c r="F76" s="16"/>
      <c r="G76" s="17"/>
      <c r="H76" s="15"/>
      <c r="I76" s="14"/>
      <c r="J76" s="18" t="str">
        <f aca="false">IF($C76&lt;&gt;"","Actual orders",IF($E76&lt;&gt;"","Est. from revenue",IF($D76&lt;&gt;"","Est. from traffic × CVR","")))</f>
        <v/>
      </c>
      <c r="K76" s="19" t="n">
        <f aca="false">IF($F76&lt;&gt;"",$F76,IFERROR(INDEX(Assumptions!$D$28:$D$39,MATCH($B76,Assumptions!$B$28:$B$39,0)),Assumptions!$C$19))</f>
        <v>250</v>
      </c>
      <c r="L76" s="20" t="str">
        <f aca="false">IF($C76&lt;&gt;"",$C76/Assumptions!$C$17,IF($E76&lt;&gt;"",$E76*1000000/12/$K76/Assumptions!$C$17,IF($D76&lt;&gt;"",$D76*IF($G76&lt;&gt;"",$G76,IFERROR(INDEX(Assumptions!$C$28:$C$39,MATCH($B76,Assumptions!$B$28:$B$39,0)),Assumptions!$C$18)),"")))</f>
        <v/>
      </c>
      <c r="M76" s="20" t="str">
        <f aca="false">IF($L76="","",IF($D76&lt;&gt;"",$D76,$L76/IF($G76&lt;&gt;"",$G76,IFERROR(INDEX(Assumptions!$C$28:$C$39,MATCH($B76,Assumptions!$B$28:$B$39,0)),Assumptions!$C$18))))</f>
        <v/>
      </c>
      <c r="N76" s="21" t="str">
        <f aca="false">IF($L76="","",MIN($L76/$M76,0.95))</f>
        <v/>
      </c>
      <c r="O76" s="20" t="str">
        <f aca="false">IF($L76="","",$L76*Assumptions!$C$17*12/52)</f>
        <v/>
      </c>
      <c r="P76" s="22" t="str">
        <f aca="false">IF($L76="","",14*((2*Assumptions!$C$23*($N76*(1-$N76)+$N76*(1+Assumptions!$C$11)*(1-$N76*(1+Assumptions!$C$11)))/($N76*Assumptions!$C$11)^2/Assumptions!$C$14)/($M76*Assumptions!$C$24))^(1/Assumptions!$C$16)/7)</f>
        <v/>
      </c>
      <c r="Q76" s="22" t="str">
        <f aca="false">IF($L76="","",14*((2*Assumptions!$C$23*($N76*(1-$N76)+$N76*(1+Assumptions!$C$12)*(1-$N76*(1+Assumptions!$C$12)))/($N76*Assumptions!$C$12)^2/Assumptions!$C$14)/($M76*Assumptions!$C$24))^(1/Assumptions!$C$16)/7)</f>
        <v/>
      </c>
      <c r="R76" s="22" t="str">
        <f aca="false">IF($L76="","",14*((2*Assumptions!$C$23*($N76*(1-$N76)+$N76*(1+Assumptions!$C$13)*(1-$N76*(1+Assumptions!$C$13)))/($N76*Assumptions!$C$13)^2/Assumptions!$C$14)/($M76*Assumptions!$C$24))^(1/Assumptions!$C$16)/7)</f>
        <v/>
      </c>
      <c r="S76" s="23" t="str">
        <f aca="false">IF($L76="","",IF($P76&lt;=Assumptions!$C$9,"Tier 1",IF($P76&lt;=Assumptions!$C$10,"Tier 1 (3-wk)",IF($Q76&lt;=Assumptions!$C$10,"Tier 2",IF($R76&lt;=Assumptions!$C$10,"Tier 3",IF(AND($H76&lt;&gt;"",14*((2*Assumptions!$C$23*(MIN($H76*52/12/$M76,0.95)*(1-MIN($H76*52/12/$M76,0.95))+MIN($H76*52/12/$M76,0.95)*(1+Assumptions!$C$12)*(1-MIN($H76*52/12/$M76,0.95)*(1+Assumptions!$C$12)))/(MIN($H76*52/12/$M76,0.95)*Assumptions!$C$12)^2/Assumptions!$C$14)/($M76*Assumptions!$C$24))^(1/Assumptions!$C$16)/7&lt;=Assumptions!$C$10),"Not a fit — micro-conversion tests only","Not a fit"))))))</f>
        <v/>
      </c>
      <c r="T76" s="18" t="str">
        <f aca="false">IF($S76="","",IF(LEFT($S76,6)="Tier 1","Pursue — trial + fast programme: 5% lifts read in 2–3 weeks",IF($S76="Tier 2","Qualify — bold tests only (10%+ lifts); funnel-wide, 3-week reads",IF($S76="Tier 3","Deprioritise — only exceptional (20%) changes read in 3 weeks",IF($S76="Not a fit","Do not trial A/B — purchase tests cannot read in 3 weeks","Trial only if tests are scored on CTA clicks / leads, not purchases")))))</f>
        <v/>
      </c>
      <c r="U76" s="19" t="str">
        <f aca="false">IF($L76="","",$L76*Assumptions!$C$17*$K76*12/1000000)</f>
        <v/>
      </c>
    </row>
    <row r="77" customFormat="false" ht="15" hidden="false" customHeight="false" outlineLevel="0" collapsed="false">
      <c r="A77" s="14"/>
      <c r="B77" s="14"/>
      <c r="C77" s="15"/>
      <c r="D77" s="15"/>
      <c r="E77" s="16"/>
      <c r="F77" s="16"/>
      <c r="G77" s="17"/>
      <c r="H77" s="15"/>
      <c r="I77" s="14"/>
      <c r="J77" s="18" t="str">
        <f aca="false">IF($C77&lt;&gt;"","Actual orders",IF($E77&lt;&gt;"","Est. from revenue",IF($D77&lt;&gt;"","Est. from traffic × CVR","")))</f>
        <v/>
      </c>
      <c r="K77" s="19" t="n">
        <f aca="false">IF($F77&lt;&gt;"",$F77,IFERROR(INDEX(Assumptions!$D$28:$D$39,MATCH($B77,Assumptions!$B$28:$B$39,0)),Assumptions!$C$19))</f>
        <v>250</v>
      </c>
      <c r="L77" s="20" t="str">
        <f aca="false">IF($C77&lt;&gt;"",$C77/Assumptions!$C$17,IF($E77&lt;&gt;"",$E77*1000000/12/$K77/Assumptions!$C$17,IF($D77&lt;&gt;"",$D77*IF($G77&lt;&gt;"",$G77,IFERROR(INDEX(Assumptions!$C$28:$C$39,MATCH($B77,Assumptions!$B$28:$B$39,0)),Assumptions!$C$18)),"")))</f>
        <v/>
      </c>
      <c r="M77" s="20" t="str">
        <f aca="false">IF($L77="","",IF($D77&lt;&gt;"",$D77,$L77/IF($G77&lt;&gt;"",$G77,IFERROR(INDEX(Assumptions!$C$28:$C$39,MATCH($B77,Assumptions!$B$28:$B$39,0)),Assumptions!$C$18))))</f>
        <v/>
      </c>
      <c r="N77" s="21" t="str">
        <f aca="false">IF($L77="","",MIN($L77/$M77,0.95))</f>
        <v/>
      </c>
      <c r="O77" s="20" t="str">
        <f aca="false">IF($L77="","",$L77*Assumptions!$C$17*12/52)</f>
        <v/>
      </c>
      <c r="P77" s="22" t="str">
        <f aca="false">IF($L77="","",14*((2*Assumptions!$C$23*($N77*(1-$N77)+$N77*(1+Assumptions!$C$11)*(1-$N77*(1+Assumptions!$C$11)))/($N77*Assumptions!$C$11)^2/Assumptions!$C$14)/($M77*Assumptions!$C$24))^(1/Assumptions!$C$16)/7)</f>
        <v/>
      </c>
      <c r="Q77" s="22" t="str">
        <f aca="false">IF($L77="","",14*((2*Assumptions!$C$23*($N77*(1-$N77)+$N77*(1+Assumptions!$C$12)*(1-$N77*(1+Assumptions!$C$12)))/($N77*Assumptions!$C$12)^2/Assumptions!$C$14)/($M77*Assumptions!$C$24))^(1/Assumptions!$C$16)/7)</f>
        <v/>
      </c>
      <c r="R77" s="22" t="str">
        <f aca="false">IF($L77="","",14*((2*Assumptions!$C$23*($N77*(1-$N77)+$N77*(1+Assumptions!$C$13)*(1-$N77*(1+Assumptions!$C$13)))/($N77*Assumptions!$C$13)^2/Assumptions!$C$14)/($M77*Assumptions!$C$24))^(1/Assumptions!$C$16)/7)</f>
        <v/>
      </c>
      <c r="S77" s="23" t="str">
        <f aca="false">IF($L77="","",IF($P77&lt;=Assumptions!$C$9,"Tier 1",IF($P77&lt;=Assumptions!$C$10,"Tier 1 (3-wk)",IF($Q77&lt;=Assumptions!$C$10,"Tier 2",IF($R77&lt;=Assumptions!$C$10,"Tier 3",IF(AND($H77&lt;&gt;"",14*((2*Assumptions!$C$23*(MIN($H77*52/12/$M77,0.95)*(1-MIN($H77*52/12/$M77,0.95))+MIN($H77*52/12/$M77,0.95)*(1+Assumptions!$C$12)*(1-MIN($H77*52/12/$M77,0.95)*(1+Assumptions!$C$12)))/(MIN($H77*52/12/$M77,0.95)*Assumptions!$C$12)^2/Assumptions!$C$14)/($M77*Assumptions!$C$24))^(1/Assumptions!$C$16)/7&lt;=Assumptions!$C$10),"Not a fit — micro-conversion tests only","Not a fit"))))))</f>
        <v/>
      </c>
      <c r="T77" s="18" t="str">
        <f aca="false">IF($S77="","",IF(LEFT($S77,6)="Tier 1","Pursue — trial + fast programme: 5% lifts read in 2–3 weeks",IF($S77="Tier 2","Qualify — bold tests only (10%+ lifts); funnel-wide, 3-week reads",IF($S77="Tier 3","Deprioritise — only exceptional (20%) changes read in 3 weeks",IF($S77="Not a fit","Do not trial A/B — purchase tests cannot read in 3 weeks","Trial only if tests are scored on CTA clicks / leads, not purchases")))))</f>
        <v/>
      </c>
      <c r="U77" s="19" t="str">
        <f aca="false">IF($L77="","",$L77*Assumptions!$C$17*$K77*12/1000000)</f>
        <v/>
      </c>
    </row>
    <row r="78" customFormat="false" ht="15" hidden="false" customHeight="false" outlineLevel="0" collapsed="false">
      <c r="A78" s="14"/>
      <c r="B78" s="14"/>
      <c r="C78" s="15"/>
      <c r="D78" s="15"/>
      <c r="E78" s="16"/>
      <c r="F78" s="16"/>
      <c r="G78" s="17"/>
      <c r="H78" s="15"/>
      <c r="I78" s="14"/>
      <c r="J78" s="18" t="str">
        <f aca="false">IF($C78&lt;&gt;"","Actual orders",IF($E78&lt;&gt;"","Est. from revenue",IF($D78&lt;&gt;"","Est. from traffic × CVR","")))</f>
        <v/>
      </c>
      <c r="K78" s="19" t="n">
        <f aca="false">IF($F78&lt;&gt;"",$F78,IFERROR(INDEX(Assumptions!$D$28:$D$39,MATCH($B78,Assumptions!$B$28:$B$39,0)),Assumptions!$C$19))</f>
        <v>250</v>
      </c>
      <c r="L78" s="20" t="str">
        <f aca="false">IF($C78&lt;&gt;"",$C78/Assumptions!$C$17,IF($E78&lt;&gt;"",$E78*1000000/12/$K78/Assumptions!$C$17,IF($D78&lt;&gt;"",$D78*IF($G78&lt;&gt;"",$G78,IFERROR(INDEX(Assumptions!$C$28:$C$39,MATCH($B78,Assumptions!$B$28:$B$39,0)),Assumptions!$C$18)),"")))</f>
        <v/>
      </c>
      <c r="M78" s="20" t="str">
        <f aca="false">IF($L78="","",IF($D78&lt;&gt;"",$D78,$L78/IF($G78&lt;&gt;"",$G78,IFERROR(INDEX(Assumptions!$C$28:$C$39,MATCH($B78,Assumptions!$B$28:$B$39,0)),Assumptions!$C$18))))</f>
        <v/>
      </c>
      <c r="N78" s="21" t="str">
        <f aca="false">IF($L78="","",MIN($L78/$M78,0.95))</f>
        <v/>
      </c>
      <c r="O78" s="20" t="str">
        <f aca="false">IF($L78="","",$L78*Assumptions!$C$17*12/52)</f>
        <v/>
      </c>
      <c r="P78" s="22" t="str">
        <f aca="false">IF($L78="","",14*((2*Assumptions!$C$23*($N78*(1-$N78)+$N78*(1+Assumptions!$C$11)*(1-$N78*(1+Assumptions!$C$11)))/($N78*Assumptions!$C$11)^2/Assumptions!$C$14)/($M78*Assumptions!$C$24))^(1/Assumptions!$C$16)/7)</f>
        <v/>
      </c>
      <c r="Q78" s="22" t="str">
        <f aca="false">IF($L78="","",14*((2*Assumptions!$C$23*($N78*(1-$N78)+$N78*(1+Assumptions!$C$12)*(1-$N78*(1+Assumptions!$C$12)))/($N78*Assumptions!$C$12)^2/Assumptions!$C$14)/($M78*Assumptions!$C$24))^(1/Assumptions!$C$16)/7)</f>
        <v/>
      </c>
      <c r="R78" s="22" t="str">
        <f aca="false">IF($L78="","",14*((2*Assumptions!$C$23*($N78*(1-$N78)+$N78*(1+Assumptions!$C$13)*(1-$N78*(1+Assumptions!$C$13)))/($N78*Assumptions!$C$13)^2/Assumptions!$C$14)/($M78*Assumptions!$C$24))^(1/Assumptions!$C$16)/7)</f>
        <v/>
      </c>
      <c r="S78" s="23" t="str">
        <f aca="false">IF($L78="","",IF($P78&lt;=Assumptions!$C$9,"Tier 1",IF($P78&lt;=Assumptions!$C$10,"Tier 1 (3-wk)",IF($Q78&lt;=Assumptions!$C$10,"Tier 2",IF($R78&lt;=Assumptions!$C$10,"Tier 3",IF(AND($H78&lt;&gt;"",14*((2*Assumptions!$C$23*(MIN($H78*52/12/$M78,0.95)*(1-MIN($H78*52/12/$M78,0.95))+MIN($H78*52/12/$M78,0.95)*(1+Assumptions!$C$12)*(1-MIN($H78*52/12/$M78,0.95)*(1+Assumptions!$C$12)))/(MIN($H78*52/12/$M78,0.95)*Assumptions!$C$12)^2/Assumptions!$C$14)/($M78*Assumptions!$C$24))^(1/Assumptions!$C$16)/7&lt;=Assumptions!$C$10),"Not a fit — micro-conversion tests only","Not a fit"))))))</f>
        <v/>
      </c>
      <c r="T78" s="18" t="str">
        <f aca="false">IF($S78="","",IF(LEFT($S78,6)="Tier 1","Pursue — trial + fast programme: 5% lifts read in 2–3 weeks",IF($S78="Tier 2","Qualify — bold tests only (10%+ lifts); funnel-wide, 3-week reads",IF($S78="Tier 3","Deprioritise — only exceptional (20%) changes read in 3 weeks",IF($S78="Not a fit","Do not trial A/B — purchase tests cannot read in 3 weeks","Trial only if tests are scored on CTA clicks / leads, not purchases")))))</f>
        <v/>
      </c>
      <c r="U78" s="19" t="str">
        <f aca="false">IF($L78="","",$L78*Assumptions!$C$17*$K78*12/1000000)</f>
        <v/>
      </c>
    </row>
    <row r="79" customFormat="false" ht="15" hidden="false" customHeight="false" outlineLevel="0" collapsed="false">
      <c r="A79" s="14"/>
      <c r="B79" s="14"/>
      <c r="C79" s="15"/>
      <c r="D79" s="15"/>
      <c r="E79" s="16"/>
      <c r="F79" s="16"/>
      <c r="G79" s="17"/>
      <c r="H79" s="15"/>
      <c r="I79" s="14"/>
      <c r="J79" s="18" t="str">
        <f aca="false">IF($C79&lt;&gt;"","Actual orders",IF($E79&lt;&gt;"","Est. from revenue",IF($D79&lt;&gt;"","Est. from traffic × CVR","")))</f>
        <v/>
      </c>
      <c r="K79" s="19" t="n">
        <f aca="false">IF($F79&lt;&gt;"",$F79,IFERROR(INDEX(Assumptions!$D$28:$D$39,MATCH($B79,Assumptions!$B$28:$B$39,0)),Assumptions!$C$19))</f>
        <v>250</v>
      </c>
      <c r="L79" s="20" t="str">
        <f aca="false">IF($C79&lt;&gt;"",$C79/Assumptions!$C$17,IF($E79&lt;&gt;"",$E79*1000000/12/$K79/Assumptions!$C$17,IF($D79&lt;&gt;"",$D79*IF($G79&lt;&gt;"",$G79,IFERROR(INDEX(Assumptions!$C$28:$C$39,MATCH($B79,Assumptions!$B$28:$B$39,0)),Assumptions!$C$18)),"")))</f>
        <v/>
      </c>
      <c r="M79" s="20" t="str">
        <f aca="false">IF($L79="","",IF($D79&lt;&gt;"",$D79,$L79/IF($G79&lt;&gt;"",$G79,IFERROR(INDEX(Assumptions!$C$28:$C$39,MATCH($B79,Assumptions!$B$28:$B$39,0)),Assumptions!$C$18))))</f>
        <v/>
      </c>
      <c r="N79" s="21" t="str">
        <f aca="false">IF($L79="","",MIN($L79/$M79,0.95))</f>
        <v/>
      </c>
      <c r="O79" s="20" t="str">
        <f aca="false">IF($L79="","",$L79*Assumptions!$C$17*12/52)</f>
        <v/>
      </c>
      <c r="P79" s="22" t="str">
        <f aca="false">IF($L79="","",14*((2*Assumptions!$C$23*($N79*(1-$N79)+$N79*(1+Assumptions!$C$11)*(1-$N79*(1+Assumptions!$C$11)))/($N79*Assumptions!$C$11)^2/Assumptions!$C$14)/($M79*Assumptions!$C$24))^(1/Assumptions!$C$16)/7)</f>
        <v/>
      </c>
      <c r="Q79" s="22" t="str">
        <f aca="false">IF($L79="","",14*((2*Assumptions!$C$23*($N79*(1-$N79)+$N79*(1+Assumptions!$C$12)*(1-$N79*(1+Assumptions!$C$12)))/($N79*Assumptions!$C$12)^2/Assumptions!$C$14)/($M79*Assumptions!$C$24))^(1/Assumptions!$C$16)/7)</f>
        <v/>
      </c>
      <c r="R79" s="22" t="str">
        <f aca="false">IF($L79="","",14*((2*Assumptions!$C$23*($N79*(1-$N79)+$N79*(1+Assumptions!$C$13)*(1-$N79*(1+Assumptions!$C$13)))/($N79*Assumptions!$C$13)^2/Assumptions!$C$14)/($M79*Assumptions!$C$24))^(1/Assumptions!$C$16)/7)</f>
        <v/>
      </c>
      <c r="S79" s="23" t="str">
        <f aca="false">IF($L79="","",IF($P79&lt;=Assumptions!$C$9,"Tier 1",IF($P79&lt;=Assumptions!$C$10,"Tier 1 (3-wk)",IF($Q79&lt;=Assumptions!$C$10,"Tier 2",IF($R79&lt;=Assumptions!$C$10,"Tier 3",IF(AND($H79&lt;&gt;"",14*((2*Assumptions!$C$23*(MIN($H79*52/12/$M79,0.95)*(1-MIN($H79*52/12/$M79,0.95))+MIN($H79*52/12/$M79,0.95)*(1+Assumptions!$C$12)*(1-MIN($H79*52/12/$M79,0.95)*(1+Assumptions!$C$12)))/(MIN($H79*52/12/$M79,0.95)*Assumptions!$C$12)^2/Assumptions!$C$14)/($M79*Assumptions!$C$24))^(1/Assumptions!$C$16)/7&lt;=Assumptions!$C$10),"Not a fit — micro-conversion tests only","Not a fit"))))))</f>
        <v/>
      </c>
      <c r="T79" s="18" t="str">
        <f aca="false">IF($S79="","",IF(LEFT($S79,6)="Tier 1","Pursue — trial + fast programme: 5% lifts read in 2–3 weeks",IF($S79="Tier 2","Qualify — bold tests only (10%+ lifts); funnel-wide, 3-week reads",IF($S79="Tier 3","Deprioritise — only exceptional (20%) changes read in 3 weeks",IF($S79="Not a fit","Do not trial A/B — purchase tests cannot read in 3 weeks","Trial only if tests are scored on CTA clicks / leads, not purchases")))))</f>
        <v/>
      </c>
      <c r="U79" s="19" t="str">
        <f aca="false">IF($L79="","",$L79*Assumptions!$C$17*$K79*12/1000000)</f>
        <v/>
      </c>
    </row>
    <row r="80" customFormat="false" ht="15" hidden="false" customHeight="false" outlineLevel="0" collapsed="false">
      <c r="A80" s="14"/>
      <c r="B80" s="14"/>
      <c r="C80" s="15"/>
      <c r="D80" s="15"/>
      <c r="E80" s="16"/>
      <c r="F80" s="16"/>
      <c r="G80" s="17"/>
      <c r="H80" s="15"/>
      <c r="I80" s="14"/>
      <c r="J80" s="18" t="str">
        <f aca="false">IF($C80&lt;&gt;"","Actual orders",IF($E80&lt;&gt;"","Est. from revenue",IF($D80&lt;&gt;"","Est. from traffic × CVR","")))</f>
        <v/>
      </c>
      <c r="K80" s="19" t="n">
        <f aca="false">IF($F80&lt;&gt;"",$F80,IFERROR(INDEX(Assumptions!$D$28:$D$39,MATCH($B80,Assumptions!$B$28:$B$39,0)),Assumptions!$C$19))</f>
        <v>250</v>
      </c>
      <c r="L80" s="20" t="str">
        <f aca="false">IF($C80&lt;&gt;"",$C80/Assumptions!$C$17,IF($E80&lt;&gt;"",$E80*1000000/12/$K80/Assumptions!$C$17,IF($D80&lt;&gt;"",$D80*IF($G80&lt;&gt;"",$G80,IFERROR(INDEX(Assumptions!$C$28:$C$39,MATCH($B80,Assumptions!$B$28:$B$39,0)),Assumptions!$C$18)),"")))</f>
        <v/>
      </c>
      <c r="M80" s="20" t="str">
        <f aca="false">IF($L80="","",IF($D80&lt;&gt;"",$D80,$L80/IF($G80&lt;&gt;"",$G80,IFERROR(INDEX(Assumptions!$C$28:$C$39,MATCH($B80,Assumptions!$B$28:$B$39,0)),Assumptions!$C$18))))</f>
        <v/>
      </c>
      <c r="N80" s="21" t="str">
        <f aca="false">IF($L80="","",MIN($L80/$M80,0.95))</f>
        <v/>
      </c>
      <c r="O80" s="20" t="str">
        <f aca="false">IF($L80="","",$L80*Assumptions!$C$17*12/52)</f>
        <v/>
      </c>
      <c r="P80" s="22" t="str">
        <f aca="false">IF($L80="","",14*((2*Assumptions!$C$23*($N80*(1-$N80)+$N80*(1+Assumptions!$C$11)*(1-$N80*(1+Assumptions!$C$11)))/($N80*Assumptions!$C$11)^2/Assumptions!$C$14)/($M80*Assumptions!$C$24))^(1/Assumptions!$C$16)/7)</f>
        <v/>
      </c>
      <c r="Q80" s="22" t="str">
        <f aca="false">IF($L80="","",14*((2*Assumptions!$C$23*($N80*(1-$N80)+$N80*(1+Assumptions!$C$12)*(1-$N80*(1+Assumptions!$C$12)))/($N80*Assumptions!$C$12)^2/Assumptions!$C$14)/($M80*Assumptions!$C$24))^(1/Assumptions!$C$16)/7)</f>
        <v/>
      </c>
      <c r="R80" s="22" t="str">
        <f aca="false">IF($L80="","",14*((2*Assumptions!$C$23*($N80*(1-$N80)+$N80*(1+Assumptions!$C$13)*(1-$N80*(1+Assumptions!$C$13)))/($N80*Assumptions!$C$13)^2/Assumptions!$C$14)/($M80*Assumptions!$C$24))^(1/Assumptions!$C$16)/7)</f>
        <v/>
      </c>
      <c r="S80" s="23" t="str">
        <f aca="false">IF($L80="","",IF($P80&lt;=Assumptions!$C$9,"Tier 1",IF($P80&lt;=Assumptions!$C$10,"Tier 1 (3-wk)",IF($Q80&lt;=Assumptions!$C$10,"Tier 2",IF($R80&lt;=Assumptions!$C$10,"Tier 3",IF(AND($H80&lt;&gt;"",14*((2*Assumptions!$C$23*(MIN($H80*52/12/$M80,0.95)*(1-MIN($H80*52/12/$M80,0.95))+MIN($H80*52/12/$M80,0.95)*(1+Assumptions!$C$12)*(1-MIN($H80*52/12/$M80,0.95)*(1+Assumptions!$C$12)))/(MIN($H80*52/12/$M80,0.95)*Assumptions!$C$12)^2/Assumptions!$C$14)/($M80*Assumptions!$C$24))^(1/Assumptions!$C$16)/7&lt;=Assumptions!$C$10),"Not a fit — micro-conversion tests only","Not a fit"))))))</f>
        <v/>
      </c>
      <c r="T80" s="18" t="str">
        <f aca="false">IF($S80="","",IF(LEFT($S80,6)="Tier 1","Pursue — trial + fast programme: 5% lifts read in 2–3 weeks",IF($S80="Tier 2","Qualify — bold tests only (10%+ lifts); funnel-wide, 3-week reads",IF($S80="Tier 3","Deprioritise — only exceptional (20%) changes read in 3 weeks",IF($S80="Not a fit","Do not trial A/B — purchase tests cannot read in 3 weeks","Trial only if tests are scored on CTA clicks / leads, not purchases")))))</f>
        <v/>
      </c>
      <c r="U80" s="19" t="str">
        <f aca="false">IF($L80="","",$L80*Assumptions!$C$17*$K80*12/1000000)</f>
        <v/>
      </c>
    </row>
    <row r="81" customFormat="false" ht="15" hidden="false" customHeight="false" outlineLevel="0" collapsed="false">
      <c r="A81" s="14"/>
      <c r="B81" s="14"/>
      <c r="C81" s="15"/>
      <c r="D81" s="15"/>
      <c r="E81" s="16"/>
      <c r="F81" s="16"/>
      <c r="G81" s="17"/>
      <c r="H81" s="15"/>
      <c r="I81" s="14"/>
      <c r="J81" s="18" t="str">
        <f aca="false">IF($C81&lt;&gt;"","Actual orders",IF($E81&lt;&gt;"","Est. from revenue",IF($D81&lt;&gt;"","Est. from traffic × CVR","")))</f>
        <v/>
      </c>
      <c r="K81" s="19" t="n">
        <f aca="false">IF($F81&lt;&gt;"",$F81,IFERROR(INDEX(Assumptions!$D$28:$D$39,MATCH($B81,Assumptions!$B$28:$B$39,0)),Assumptions!$C$19))</f>
        <v>250</v>
      </c>
      <c r="L81" s="20" t="str">
        <f aca="false">IF($C81&lt;&gt;"",$C81/Assumptions!$C$17,IF($E81&lt;&gt;"",$E81*1000000/12/$K81/Assumptions!$C$17,IF($D81&lt;&gt;"",$D81*IF($G81&lt;&gt;"",$G81,IFERROR(INDEX(Assumptions!$C$28:$C$39,MATCH($B81,Assumptions!$B$28:$B$39,0)),Assumptions!$C$18)),"")))</f>
        <v/>
      </c>
      <c r="M81" s="20" t="str">
        <f aca="false">IF($L81="","",IF($D81&lt;&gt;"",$D81,$L81/IF($G81&lt;&gt;"",$G81,IFERROR(INDEX(Assumptions!$C$28:$C$39,MATCH($B81,Assumptions!$B$28:$B$39,0)),Assumptions!$C$18))))</f>
        <v/>
      </c>
      <c r="N81" s="21" t="str">
        <f aca="false">IF($L81="","",MIN($L81/$M81,0.95))</f>
        <v/>
      </c>
      <c r="O81" s="20" t="str">
        <f aca="false">IF($L81="","",$L81*Assumptions!$C$17*12/52)</f>
        <v/>
      </c>
      <c r="P81" s="22" t="str">
        <f aca="false">IF($L81="","",14*((2*Assumptions!$C$23*($N81*(1-$N81)+$N81*(1+Assumptions!$C$11)*(1-$N81*(1+Assumptions!$C$11)))/($N81*Assumptions!$C$11)^2/Assumptions!$C$14)/($M81*Assumptions!$C$24))^(1/Assumptions!$C$16)/7)</f>
        <v/>
      </c>
      <c r="Q81" s="22" t="str">
        <f aca="false">IF($L81="","",14*((2*Assumptions!$C$23*($N81*(1-$N81)+$N81*(1+Assumptions!$C$12)*(1-$N81*(1+Assumptions!$C$12)))/($N81*Assumptions!$C$12)^2/Assumptions!$C$14)/($M81*Assumptions!$C$24))^(1/Assumptions!$C$16)/7)</f>
        <v/>
      </c>
      <c r="R81" s="22" t="str">
        <f aca="false">IF($L81="","",14*((2*Assumptions!$C$23*($N81*(1-$N81)+$N81*(1+Assumptions!$C$13)*(1-$N81*(1+Assumptions!$C$13)))/($N81*Assumptions!$C$13)^2/Assumptions!$C$14)/($M81*Assumptions!$C$24))^(1/Assumptions!$C$16)/7)</f>
        <v/>
      </c>
      <c r="S81" s="23" t="str">
        <f aca="false">IF($L81="","",IF($P81&lt;=Assumptions!$C$9,"Tier 1",IF($P81&lt;=Assumptions!$C$10,"Tier 1 (3-wk)",IF($Q81&lt;=Assumptions!$C$10,"Tier 2",IF($R81&lt;=Assumptions!$C$10,"Tier 3",IF(AND($H81&lt;&gt;"",14*((2*Assumptions!$C$23*(MIN($H81*52/12/$M81,0.95)*(1-MIN($H81*52/12/$M81,0.95))+MIN($H81*52/12/$M81,0.95)*(1+Assumptions!$C$12)*(1-MIN($H81*52/12/$M81,0.95)*(1+Assumptions!$C$12)))/(MIN($H81*52/12/$M81,0.95)*Assumptions!$C$12)^2/Assumptions!$C$14)/($M81*Assumptions!$C$24))^(1/Assumptions!$C$16)/7&lt;=Assumptions!$C$10),"Not a fit — micro-conversion tests only","Not a fit"))))))</f>
        <v/>
      </c>
      <c r="T81" s="18" t="str">
        <f aca="false">IF($S81="","",IF(LEFT($S81,6)="Tier 1","Pursue — trial + fast programme: 5% lifts read in 2–3 weeks",IF($S81="Tier 2","Qualify — bold tests only (10%+ lifts); funnel-wide, 3-week reads",IF($S81="Tier 3","Deprioritise — only exceptional (20%) changes read in 3 weeks",IF($S81="Not a fit","Do not trial A/B — purchase tests cannot read in 3 weeks","Trial only if tests are scored on CTA clicks / leads, not purchases")))))</f>
        <v/>
      </c>
      <c r="U81" s="19" t="str">
        <f aca="false">IF($L81="","",$L81*Assumptions!$C$17*$K81*12/1000000)</f>
        <v/>
      </c>
    </row>
    <row r="82" customFormat="false" ht="15" hidden="false" customHeight="false" outlineLevel="0" collapsed="false">
      <c r="A82" s="14"/>
      <c r="B82" s="14"/>
      <c r="C82" s="15"/>
      <c r="D82" s="15"/>
      <c r="E82" s="16"/>
      <c r="F82" s="16"/>
      <c r="G82" s="17"/>
      <c r="H82" s="15"/>
      <c r="I82" s="14"/>
      <c r="J82" s="18" t="str">
        <f aca="false">IF($C82&lt;&gt;"","Actual orders",IF($E82&lt;&gt;"","Est. from revenue",IF($D82&lt;&gt;"","Est. from traffic × CVR","")))</f>
        <v/>
      </c>
      <c r="K82" s="19" t="n">
        <f aca="false">IF($F82&lt;&gt;"",$F82,IFERROR(INDEX(Assumptions!$D$28:$D$39,MATCH($B82,Assumptions!$B$28:$B$39,0)),Assumptions!$C$19))</f>
        <v>250</v>
      </c>
      <c r="L82" s="20" t="str">
        <f aca="false">IF($C82&lt;&gt;"",$C82/Assumptions!$C$17,IF($E82&lt;&gt;"",$E82*1000000/12/$K82/Assumptions!$C$17,IF($D82&lt;&gt;"",$D82*IF($G82&lt;&gt;"",$G82,IFERROR(INDEX(Assumptions!$C$28:$C$39,MATCH($B82,Assumptions!$B$28:$B$39,0)),Assumptions!$C$18)),"")))</f>
        <v/>
      </c>
      <c r="M82" s="20" t="str">
        <f aca="false">IF($L82="","",IF($D82&lt;&gt;"",$D82,$L82/IF($G82&lt;&gt;"",$G82,IFERROR(INDEX(Assumptions!$C$28:$C$39,MATCH($B82,Assumptions!$B$28:$B$39,0)),Assumptions!$C$18))))</f>
        <v/>
      </c>
      <c r="N82" s="21" t="str">
        <f aca="false">IF($L82="","",MIN($L82/$M82,0.95))</f>
        <v/>
      </c>
      <c r="O82" s="20" t="str">
        <f aca="false">IF($L82="","",$L82*Assumptions!$C$17*12/52)</f>
        <v/>
      </c>
      <c r="P82" s="22" t="str">
        <f aca="false">IF($L82="","",14*((2*Assumptions!$C$23*($N82*(1-$N82)+$N82*(1+Assumptions!$C$11)*(1-$N82*(1+Assumptions!$C$11)))/($N82*Assumptions!$C$11)^2/Assumptions!$C$14)/($M82*Assumptions!$C$24))^(1/Assumptions!$C$16)/7)</f>
        <v/>
      </c>
      <c r="Q82" s="22" t="str">
        <f aca="false">IF($L82="","",14*((2*Assumptions!$C$23*($N82*(1-$N82)+$N82*(1+Assumptions!$C$12)*(1-$N82*(1+Assumptions!$C$12)))/($N82*Assumptions!$C$12)^2/Assumptions!$C$14)/($M82*Assumptions!$C$24))^(1/Assumptions!$C$16)/7)</f>
        <v/>
      </c>
      <c r="R82" s="22" t="str">
        <f aca="false">IF($L82="","",14*((2*Assumptions!$C$23*($N82*(1-$N82)+$N82*(1+Assumptions!$C$13)*(1-$N82*(1+Assumptions!$C$13)))/($N82*Assumptions!$C$13)^2/Assumptions!$C$14)/($M82*Assumptions!$C$24))^(1/Assumptions!$C$16)/7)</f>
        <v/>
      </c>
      <c r="S82" s="23" t="str">
        <f aca="false">IF($L82="","",IF($P82&lt;=Assumptions!$C$9,"Tier 1",IF($P82&lt;=Assumptions!$C$10,"Tier 1 (3-wk)",IF($Q82&lt;=Assumptions!$C$10,"Tier 2",IF($R82&lt;=Assumptions!$C$10,"Tier 3",IF(AND($H82&lt;&gt;"",14*((2*Assumptions!$C$23*(MIN($H82*52/12/$M82,0.95)*(1-MIN($H82*52/12/$M82,0.95))+MIN($H82*52/12/$M82,0.95)*(1+Assumptions!$C$12)*(1-MIN($H82*52/12/$M82,0.95)*(1+Assumptions!$C$12)))/(MIN($H82*52/12/$M82,0.95)*Assumptions!$C$12)^2/Assumptions!$C$14)/($M82*Assumptions!$C$24))^(1/Assumptions!$C$16)/7&lt;=Assumptions!$C$10),"Not a fit — micro-conversion tests only","Not a fit"))))))</f>
        <v/>
      </c>
      <c r="T82" s="18" t="str">
        <f aca="false">IF($S82="","",IF(LEFT($S82,6)="Tier 1","Pursue — trial + fast programme: 5% lifts read in 2–3 weeks",IF($S82="Tier 2","Qualify — bold tests only (10%+ lifts); funnel-wide, 3-week reads",IF($S82="Tier 3","Deprioritise — only exceptional (20%) changes read in 3 weeks",IF($S82="Not a fit","Do not trial A/B — purchase tests cannot read in 3 weeks","Trial only if tests are scored on CTA clicks / leads, not purchases")))))</f>
        <v/>
      </c>
      <c r="U82" s="19" t="str">
        <f aca="false">IF($L82="","",$L82*Assumptions!$C$17*$K82*12/1000000)</f>
        <v/>
      </c>
    </row>
    <row r="83" customFormat="false" ht="15" hidden="false" customHeight="false" outlineLevel="0" collapsed="false">
      <c r="A83" s="14"/>
      <c r="B83" s="14"/>
      <c r="C83" s="15"/>
      <c r="D83" s="15"/>
      <c r="E83" s="16"/>
      <c r="F83" s="16"/>
      <c r="G83" s="17"/>
      <c r="H83" s="15"/>
      <c r="I83" s="14"/>
      <c r="J83" s="18" t="str">
        <f aca="false">IF($C83&lt;&gt;"","Actual orders",IF($E83&lt;&gt;"","Est. from revenue",IF($D83&lt;&gt;"","Est. from traffic × CVR","")))</f>
        <v/>
      </c>
      <c r="K83" s="19" t="n">
        <f aca="false">IF($F83&lt;&gt;"",$F83,IFERROR(INDEX(Assumptions!$D$28:$D$39,MATCH($B83,Assumptions!$B$28:$B$39,0)),Assumptions!$C$19))</f>
        <v>250</v>
      </c>
      <c r="L83" s="20" t="str">
        <f aca="false">IF($C83&lt;&gt;"",$C83/Assumptions!$C$17,IF($E83&lt;&gt;"",$E83*1000000/12/$K83/Assumptions!$C$17,IF($D83&lt;&gt;"",$D83*IF($G83&lt;&gt;"",$G83,IFERROR(INDEX(Assumptions!$C$28:$C$39,MATCH($B83,Assumptions!$B$28:$B$39,0)),Assumptions!$C$18)),"")))</f>
        <v/>
      </c>
      <c r="M83" s="20" t="str">
        <f aca="false">IF($L83="","",IF($D83&lt;&gt;"",$D83,$L83/IF($G83&lt;&gt;"",$G83,IFERROR(INDEX(Assumptions!$C$28:$C$39,MATCH($B83,Assumptions!$B$28:$B$39,0)),Assumptions!$C$18))))</f>
        <v/>
      </c>
      <c r="N83" s="21" t="str">
        <f aca="false">IF($L83="","",MIN($L83/$M83,0.95))</f>
        <v/>
      </c>
      <c r="O83" s="20" t="str">
        <f aca="false">IF($L83="","",$L83*Assumptions!$C$17*12/52)</f>
        <v/>
      </c>
      <c r="P83" s="22" t="str">
        <f aca="false">IF($L83="","",14*((2*Assumptions!$C$23*($N83*(1-$N83)+$N83*(1+Assumptions!$C$11)*(1-$N83*(1+Assumptions!$C$11)))/($N83*Assumptions!$C$11)^2/Assumptions!$C$14)/($M83*Assumptions!$C$24))^(1/Assumptions!$C$16)/7)</f>
        <v/>
      </c>
      <c r="Q83" s="22" t="str">
        <f aca="false">IF($L83="","",14*((2*Assumptions!$C$23*($N83*(1-$N83)+$N83*(1+Assumptions!$C$12)*(1-$N83*(1+Assumptions!$C$12)))/($N83*Assumptions!$C$12)^2/Assumptions!$C$14)/($M83*Assumptions!$C$24))^(1/Assumptions!$C$16)/7)</f>
        <v/>
      </c>
      <c r="R83" s="22" t="str">
        <f aca="false">IF($L83="","",14*((2*Assumptions!$C$23*($N83*(1-$N83)+$N83*(1+Assumptions!$C$13)*(1-$N83*(1+Assumptions!$C$13)))/($N83*Assumptions!$C$13)^2/Assumptions!$C$14)/($M83*Assumptions!$C$24))^(1/Assumptions!$C$16)/7)</f>
        <v/>
      </c>
      <c r="S83" s="23" t="str">
        <f aca="false">IF($L83="","",IF($P83&lt;=Assumptions!$C$9,"Tier 1",IF($P83&lt;=Assumptions!$C$10,"Tier 1 (3-wk)",IF($Q83&lt;=Assumptions!$C$10,"Tier 2",IF($R83&lt;=Assumptions!$C$10,"Tier 3",IF(AND($H83&lt;&gt;"",14*((2*Assumptions!$C$23*(MIN($H83*52/12/$M83,0.95)*(1-MIN($H83*52/12/$M83,0.95))+MIN($H83*52/12/$M83,0.95)*(1+Assumptions!$C$12)*(1-MIN($H83*52/12/$M83,0.95)*(1+Assumptions!$C$12)))/(MIN($H83*52/12/$M83,0.95)*Assumptions!$C$12)^2/Assumptions!$C$14)/($M83*Assumptions!$C$24))^(1/Assumptions!$C$16)/7&lt;=Assumptions!$C$10),"Not a fit — micro-conversion tests only","Not a fit"))))))</f>
        <v/>
      </c>
      <c r="T83" s="18" t="str">
        <f aca="false">IF($S83="","",IF(LEFT($S83,6)="Tier 1","Pursue — trial + fast programme: 5% lifts read in 2–3 weeks",IF($S83="Tier 2","Qualify — bold tests only (10%+ lifts); funnel-wide, 3-week reads",IF($S83="Tier 3","Deprioritise — only exceptional (20%) changes read in 3 weeks",IF($S83="Not a fit","Do not trial A/B — purchase tests cannot read in 3 weeks","Trial only if tests are scored on CTA clicks / leads, not purchases")))))</f>
        <v/>
      </c>
      <c r="U83" s="19" t="str">
        <f aca="false">IF($L83="","",$L83*Assumptions!$C$17*$K83*12/1000000)</f>
        <v/>
      </c>
    </row>
    <row r="84" customFormat="false" ht="15" hidden="false" customHeight="false" outlineLevel="0" collapsed="false">
      <c r="A84" s="14"/>
      <c r="B84" s="14"/>
      <c r="C84" s="15"/>
      <c r="D84" s="15"/>
      <c r="E84" s="16"/>
      <c r="F84" s="16"/>
      <c r="G84" s="17"/>
      <c r="H84" s="15"/>
      <c r="I84" s="14"/>
      <c r="J84" s="18" t="str">
        <f aca="false">IF($C84&lt;&gt;"","Actual orders",IF($E84&lt;&gt;"","Est. from revenue",IF($D84&lt;&gt;"","Est. from traffic × CVR","")))</f>
        <v/>
      </c>
      <c r="K84" s="19" t="n">
        <f aca="false">IF($F84&lt;&gt;"",$F84,IFERROR(INDEX(Assumptions!$D$28:$D$39,MATCH($B84,Assumptions!$B$28:$B$39,0)),Assumptions!$C$19))</f>
        <v>250</v>
      </c>
      <c r="L84" s="20" t="str">
        <f aca="false">IF($C84&lt;&gt;"",$C84/Assumptions!$C$17,IF($E84&lt;&gt;"",$E84*1000000/12/$K84/Assumptions!$C$17,IF($D84&lt;&gt;"",$D84*IF($G84&lt;&gt;"",$G84,IFERROR(INDEX(Assumptions!$C$28:$C$39,MATCH($B84,Assumptions!$B$28:$B$39,0)),Assumptions!$C$18)),"")))</f>
        <v/>
      </c>
      <c r="M84" s="20" t="str">
        <f aca="false">IF($L84="","",IF($D84&lt;&gt;"",$D84,$L84/IF($G84&lt;&gt;"",$G84,IFERROR(INDEX(Assumptions!$C$28:$C$39,MATCH($B84,Assumptions!$B$28:$B$39,0)),Assumptions!$C$18))))</f>
        <v/>
      </c>
      <c r="N84" s="21" t="str">
        <f aca="false">IF($L84="","",MIN($L84/$M84,0.95))</f>
        <v/>
      </c>
      <c r="O84" s="20" t="str">
        <f aca="false">IF($L84="","",$L84*Assumptions!$C$17*12/52)</f>
        <v/>
      </c>
      <c r="P84" s="22" t="str">
        <f aca="false">IF($L84="","",14*((2*Assumptions!$C$23*($N84*(1-$N84)+$N84*(1+Assumptions!$C$11)*(1-$N84*(1+Assumptions!$C$11)))/($N84*Assumptions!$C$11)^2/Assumptions!$C$14)/($M84*Assumptions!$C$24))^(1/Assumptions!$C$16)/7)</f>
        <v/>
      </c>
      <c r="Q84" s="22" t="str">
        <f aca="false">IF($L84="","",14*((2*Assumptions!$C$23*($N84*(1-$N84)+$N84*(1+Assumptions!$C$12)*(1-$N84*(1+Assumptions!$C$12)))/($N84*Assumptions!$C$12)^2/Assumptions!$C$14)/($M84*Assumptions!$C$24))^(1/Assumptions!$C$16)/7)</f>
        <v/>
      </c>
      <c r="R84" s="22" t="str">
        <f aca="false">IF($L84="","",14*((2*Assumptions!$C$23*($N84*(1-$N84)+$N84*(1+Assumptions!$C$13)*(1-$N84*(1+Assumptions!$C$13)))/($N84*Assumptions!$C$13)^2/Assumptions!$C$14)/($M84*Assumptions!$C$24))^(1/Assumptions!$C$16)/7)</f>
        <v/>
      </c>
      <c r="S84" s="23" t="str">
        <f aca="false">IF($L84="","",IF($P84&lt;=Assumptions!$C$9,"Tier 1",IF($P84&lt;=Assumptions!$C$10,"Tier 1 (3-wk)",IF($Q84&lt;=Assumptions!$C$10,"Tier 2",IF($R84&lt;=Assumptions!$C$10,"Tier 3",IF(AND($H84&lt;&gt;"",14*((2*Assumptions!$C$23*(MIN($H84*52/12/$M84,0.95)*(1-MIN($H84*52/12/$M84,0.95))+MIN($H84*52/12/$M84,0.95)*(1+Assumptions!$C$12)*(1-MIN($H84*52/12/$M84,0.95)*(1+Assumptions!$C$12)))/(MIN($H84*52/12/$M84,0.95)*Assumptions!$C$12)^2/Assumptions!$C$14)/($M84*Assumptions!$C$24))^(1/Assumptions!$C$16)/7&lt;=Assumptions!$C$10),"Not a fit — micro-conversion tests only","Not a fit"))))))</f>
        <v/>
      </c>
      <c r="T84" s="18" t="str">
        <f aca="false">IF($S84="","",IF(LEFT($S84,6)="Tier 1","Pursue — trial + fast programme: 5% lifts read in 2–3 weeks",IF($S84="Tier 2","Qualify — bold tests only (10%+ lifts); funnel-wide, 3-week reads",IF($S84="Tier 3","Deprioritise — only exceptional (20%) changes read in 3 weeks",IF($S84="Not a fit","Do not trial A/B — purchase tests cannot read in 3 weeks","Trial only if tests are scored on CTA clicks / leads, not purchases")))))</f>
        <v/>
      </c>
      <c r="U84" s="19" t="str">
        <f aca="false">IF($L84="","",$L84*Assumptions!$C$17*$K84*12/1000000)</f>
        <v/>
      </c>
    </row>
    <row r="85" customFormat="false" ht="15" hidden="false" customHeight="false" outlineLevel="0" collapsed="false">
      <c r="A85" s="14"/>
      <c r="B85" s="14"/>
      <c r="C85" s="15"/>
      <c r="D85" s="15"/>
      <c r="E85" s="16"/>
      <c r="F85" s="16"/>
      <c r="G85" s="17"/>
      <c r="H85" s="15"/>
      <c r="I85" s="14"/>
      <c r="J85" s="18" t="str">
        <f aca="false">IF($C85&lt;&gt;"","Actual orders",IF($E85&lt;&gt;"","Est. from revenue",IF($D85&lt;&gt;"","Est. from traffic × CVR","")))</f>
        <v/>
      </c>
      <c r="K85" s="19" t="n">
        <f aca="false">IF($F85&lt;&gt;"",$F85,IFERROR(INDEX(Assumptions!$D$28:$D$39,MATCH($B85,Assumptions!$B$28:$B$39,0)),Assumptions!$C$19))</f>
        <v>250</v>
      </c>
      <c r="L85" s="20" t="str">
        <f aca="false">IF($C85&lt;&gt;"",$C85/Assumptions!$C$17,IF($E85&lt;&gt;"",$E85*1000000/12/$K85/Assumptions!$C$17,IF($D85&lt;&gt;"",$D85*IF($G85&lt;&gt;"",$G85,IFERROR(INDEX(Assumptions!$C$28:$C$39,MATCH($B85,Assumptions!$B$28:$B$39,0)),Assumptions!$C$18)),"")))</f>
        <v/>
      </c>
      <c r="M85" s="20" t="str">
        <f aca="false">IF($L85="","",IF($D85&lt;&gt;"",$D85,$L85/IF($G85&lt;&gt;"",$G85,IFERROR(INDEX(Assumptions!$C$28:$C$39,MATCH($B85,Assumptions!$B$28:$B$39,0)),Assumptions!$C$18))))</f>
        <v/>
      </c>
      <c r="N85" s="21" t="str">
        <f aca="false">IF($L85="","",MIN($L85/$M85,0.95))</f>
        <v/>
      </c>
      <c r="O85" s="20" t="str">
        <f aca="false">IF($L85="","",$L85*Assumptions!$C$17*12/52)</f>
        <v/>
      </c>
      <c r="P85" s="22" t="str">
        <f aca="false">IF($L85="","",14*((2*Assumptions!$C$23*($N85*(1-$N85)+$N85*(1+Assumptions!$C$11)*(1-$N85*(1+Assumptions!$C$11)))/($N85*Assumptions!$C$11)^2/Assumptions!$C$14)/($M85*Assumptions!$C$24))^(1/Assumptions!$C$16)/7)</f>
        <v/>
      </c>
      <c r="Q85" s="22" t="str">
        <f aca="false">IF($L85="","",14*((2*Assumptions!$C$23*($N85*(1-$N85)+$N85*(1+Assumptions!$C$12)*(1-$N85*(1+Assumptions!$C$12)))/($N85*Assumptions!$C$12)^2/Assumptions!$C$14)/($M85*Assumptions!$C$24))^(1/Assumptions!$C$16)/7)</f>
        <v/>
      </c>
      <c r="R85" s="22" t="str">
        <f aca="false">IF($L85="","",14*((2*Assumptions!$C$23*($N85*(1-$N85)+$N85*(1+Assumptions!$C$13)*(1-$N85*(1+Assumptions!$C$13)))/($N85*Assumptions!$C$13)^2/Assumptions!$C$14)/($M85*Assumptions!$C$24))^(1/Assumptions!$C$16)/7)</f>
        <v/>
      </c>
      <c r="S85" s="23" t="str">
        <f aca="false">IF($L85="","",IF($P85&lt;=Assumptions!$C$9,"Tier 1",IF($P85&lt;=Assumptions!$C$10,"Tier 1 (3-wk)",IF($Q85&lt;=Assumptions!$C$10,"Tier 2",IF($R85&lt;=Assumptions!$C$10,"Tier 3",IF(AND($H85&lt;&gt;"",14*((2*Assumptions!$C$23*(MIN($H85*52/12/$M85,0.95)*(1-MIN($H85*52/12/$M85,0.95))+MIN($H85*52/12/$M85,0.95)*(1+Assumptions!$C$12)*(1-MIN($H85*52/12/$M85,0.95)*(1+Assumptions!$C$12)))/(MIN($H85*52/12/$M85,0.95)*Assumptions!$C$12)^2/Assumptions!$C$14)/($M85*Assumptions!$C$24))^(1/Assumptions!$C$16)/7&lt;=Assumptions!$C$10),"Not a fit — micro-conversion tests only","Not a fit"))))))</f>
        <v/>
      </c>
      <c r="T85" s="18" t="str">
        <f aca="false">IF($S85="","",IF(LEFT($S85,6)="Tier 1","Pursue — trial + fast programme: 5% lifts read in 2–3 weeks",IF($S85="Tier 2","Qualify — bold tests only (10%+ lifts); funnel-wide, 3-week reads",IF($S85="Tier 3","Deprioritise — only exceptional (20%) changes read in 3 weeks",IF($S85="Not a fit","Do not trial A/B — purchase tests cannot read in 3 weeks","Trial only if tests are scored on CTA clicks / leads, not purchases")))))</f>
        <v/>
      </c>
      <c r="U85" s="19" t="str">
        <f aca="false">IF($L85="","",$L85*Assumptions!$C$17*$K85*12/1000000)</f>
        <v/>
      </c>
    </row>
    <row r="86" customFormat="false" ht="15" hidden="false" customHeight="false" outlineLevel="0" collapsed="false">
      <c r="A86" s="14"/>
      <c r="B86" s="14"/>
      <c r="C86" s="15"/>
      <c r="D86" s="15"/>
      <c r="E86" s="16"/>
      <c r="F86" s="16"/>
      <c r="G86" s="17"/>
      <c r="H86" s="15"/>
      <c r="I86" s="14"/>
      <c r="J86" s="18" t="str">
        <f aca="false">IF($C86&lt;&gt;"","Actual orders",IF($E86&lt;&gt;"","Est. from revenue",IF($D86&lt;&gt;"","Est. from traffic × CVR","")))</f>
        <v/>
      </c>
      <c r="K86" s="19" t="n">
        <f aca="false">IF($F86&lt;&gt;"",$F86,IFERROR(INDEX(Assumptions!$D$28:$D$39,MATCH($B86,Assumptions!$B$28:$B$39,0)),Assumptions!$C$19))</f>
        <v>250</v>
      </c>
      <c r="L86" s="20" t="str">
        <f aca="false">IF($C86&lt;&gt;"",$C86/Assumptions!$C$17,IF($E86&lt;&gt;"",$E86*1000000/12/$K86/Assumptions!$C$17,IF($D86&lt;&gt;"",$D86*IF($G86&lt;&gt;"",$G86,IFERROR(INDEX(Assumptions!$C$28:$C$39,MATCH($B86,Assumptions!$B$28:$B$39,0)),Assumptions!$C$18)),"")))</f>
        <v/>
      </c>
      <c r="M86" s="20" t="str">
        <f aca="false">IF($L86="","",IF($D86&lt;&gt;"",$D86,$L86/IF($G86&lt;&gt;"",$G86,IFERROR(INDEX(Assumptions!$C$28:$C$39,MATCH($B86,Assumptions!$B$28:$B$39,0)),Assumptions!$C$18))))</f>
        <v/>
      </c>
      <c r="N86" s="21" t="str">
        <f aca="false">IF($L86="","",MIN($L86/$M86,0.95))</f>
        <v/>
      </c>
      <c r="O86" s="20" t="str">
        <f aca="false">IF($L86="","",$L86*Assumptions!$C$17*12/52)</f>
        <v/>
      </c>
      <c r="P86" s="22" t="str">
        <f aca="false">IF($L86="","",14*((2*Assumptions!$C$23*($N86*(1-$N86)+$N86*(1+Assumptions!$C$11)*(1-$N86*(1+Assumptions!$C$11)))/($N86*Assumptions!$C$11)^2/Assumptions!$C$14)/($M86*Assumptions!$C$24))^(1/Assumptions!$C$16)/7)</f>
        <v/>
      </c>
      <c r="Q86" s="22" t="str">
        <f aca="false">IF($L86="","",14*((2*Assumptions!$C$23*($N86*(1-$N86)+$N86*(1+Assumptions!$C$12)*(1-$N86*(1+Assumptions!$C$12)))/($N86*Assumptions!$C$12)^2/Assumptions!$C$14)/($M86*Assumptions!$C$24))^(1/Assumptions!$C$16)/7)</f>
        <v/>
      </c>
      <c r="R86" s="22" t="str">
        <f aca="false">IF($L86="","",14*((2*Assumptions!$C$23*($N86*(1-$N86)+$N86*(1+Assumptions!$C$13)*(1-$N86*(1+Assumptions!$C$13)))/($N86*Assumptions!$C$13)^2/Assumptions!$C$14)/($M86*Assumptions!$C$24))^(1/Assumptions!$C$16)/7)</f>
        <v/>
      </c>
      <c r="S86" s="23" t="str">
        <f aca="false">IF($L86="","",IF($P86&lt;=Assumptions!$C$9,"Tier 1",IF($P86&lt;=Assumptions!$C$10,"Tier 1 (3-wk)",IF($Q86&lt;=Assumptions!$C$10,"Tier 2",IF($R86&lt;=Assumptions!$C$10,"Tier 3",IF(AND($H86&lt;&gt;"",14*((2*Assumptions!$C$23*(MIN($H86*52/12/$M86,0.95)*(1-MIN($H86*52/12/$M86,0.95))+MIN($H86*52/12/$M86,0.95)*(1+Assumptions!$C$12)*(1-MIN($H86*52/12/$M86,0.95)*(1+Assumptions!$C$12)))/(MIN($H86*52/12/$M86,0.95)*Assumptions!$C$12)^2/Assumptions!$C$14)/($M86*Assumptions!$C$24))^(1/Assumptions!$C$16)/7&lt;=Assumptions!$C$10),"Not a fit — micro-conversion tests only","Not a fit"))))))</f>
        <v/>
      </c>
      <c r="T86" s="18" t="str">
        <f aca="false">IF($S86="","",IF(LEFT($S86,6)="Tier 1","Pursue — trial + fast programme: 5% lifts read in 2–3 weeks",IF($S86="Tier 2","Qualify — bold tests only (10%+ lifts); funnel-wide, 3-week reads",IF($S86="Tier 3","Deprioritise — only exceptional (20%) changes read in 3 weeks",IF($S86="Not a fit","Do not trial A/B — purchase tests cannot read in 3 weeks","Trial only if tests are scored on CTA clicks / leads, not purchases")))))</f>
        <v/>
      </c>
      <c r="U86" s="19" t="str">
        <f aca="false">IF($L86="","",$L86*Assumptions!$C$17*$K86*12/1000000)</f>
        <v/>
      </c>
    </row>
    <row r="87" customFormat="false" ht="15" hidden="false" customHeight="false" outlineLevel="0" collapsed="false">
      <c r="A87" s="14"/>
      <c r="B87" s="14"/>
      <c r="C87" s="15"/>
      <c r="D87" s="15"/>
      <c r="E87" s="16"/>
      <c r="F87" s="16"/>
      <c r="G87" s="17"/>
      <c r="H87" s="15"/>
      <c r="I87" s="14"/>
      <c r="J87" s="18" t="str">
        <f aca="false">IF($C87&lt;&gt;"","Actual orders",IF($E87&lt;&gt;"","Est. from revenue",IF($D87&lt;&gt;"","Est. from traffic × CVR","")))</f>
        <v/>
      </c>
      <c r="K87" s="19" t="n">
        <f aca="false">IF($F87&lt;&gt;"",$F87,IFERROR(INDEX(Assumptions!$D$28:$D$39,MATCH($B87,Assumptions!$B$28:$B$39,0)),Assumptions!$C$19))</f>
        <v>250</v>
      </c>
      <c r="L87" s="20" t="str">
        <f aca="false">IF($C87&lt;&gt;"",$C87/Assumptions!$C$17,IF($E87&lt;&gt;"",$E87*1000000/12/$K87/Assumptions!$C$17,IF($D87&lt;&gt;"",$D87*IF($G87&lt;&gt;"",$G87,IFERROR(INDEX(Assumptions!$C$28:$C$39,MATCH($B87,Assumptions!$B$28:$B$39,0)),Assumptions!$C$18)),"")))</f>
        <v/>
      </c>
      <c r="M87" s="20" t="str">
        <f aca="false">IF($L87="","",IF($D87&lt;&gt;"",$D87,$L87/IF($G87&lt;&gt;"",$G87,IFERROR(INDEX(Assumptions!$C$28:$C$39,MATCH($B87,Assumptions!$B$28:$B$39,0)),Assumptions!$C$18))))</f>
        <v/>
      </c>
      <c r="N87" s="21" t="str">
        <f aca="false">IF($L87="","",MIN($L87/$M87,0.95))</f>
        <v/>
      </c>
      <c r="O87" s="20" t="str">
        <f aca="false">IF($L87="","",$L87*Assumptions!$C$17*12/52)</f>
        <v/>
      </c>
      <c r="P87" s="22" t="str">
        <f aca="false">IF($L87="","",14*((2*Assumptions!$C$23*($N87*(1-$N87)+$N87*(1+Assumptions!$C$11)*(1-$N87*(1+Assumptions!$C$11)))/($N87*Assumptions!$C$11)^2/Assumptions!$C$14)/($M87*Assumptions!$C$24))^(1/Assumptions!$C$16)/7)</f>
        <v/>
      </c>
      <c r="Q87" s="22" t="str">
        <f aca="false">IF($L87="","",14*((2*Assumptions!$C$23*($N87*(1-$N87)+$N87*(1+Assumptions!$C$12)*(1-$N87*(1+Assumptions!$C$12)))/($N87*Assumptions!$C$12)^2/Assumptions!$C$14)/($M87*Assumptions!$C$24))^(1/Assumptions!$C$16)/7)</f>
        <v/>
      </c>
      <c r="R87" s="22" t="str">
        <f aca="false">IF($L87="","",14*((2*Assumptions!$C$23*($N87*(1-$N87)+$N87*(1+Assumptions!$C$13)*(1-$N87*(1+Assumptions!$C$13)))/($N87*Assumptions!$C$13)^2/Assumptions!$C$14)/($M87*Assumptions!$C$24))^(1/Assumptions!$C$16)/7)</f>
        <v/>
      </c>
      <c r="S87" s="23" t="str">
        <f aca="false">IF($L87="","",IF($P87&lt;=Assumptions!$C$9,"Tier 1",IF($P87&lt;=Assumptions!$C$10,"Tier 1 (3-wk)",IF($Q87&lt;=Assumptions!$C$10,"Tier 2",IF($R87&lt;=Assumptions!$C$10,"Tier 3",IF(AND($H87&lt;&gt;"",14*((2*Assumptions!$C$23*(MIN($H87*52/12/$M87,0.95)*(1-MIN($H87*52/12/$M87,0.95))+MIN($H87*52/12/$M87,0.95)*(1+Assumptions!$C$12)*(1-MIN($H87*52/12/$M87,0.95)*(1+Assumptions!$C$12)))/(MIN($H87*52/12/$M87,0.95)*Assumptions!$C$12)^2/Assumptions!$C$14)/($M87*Assumptions!$C$24))^(1/Assumptions!$C$16)/7&lt;=Assumptions!$C$10),"Not a fit — micro-conversion tests only","Not a fit"))))))</f>
        <v/>
      </c>
      <c r="T87" s="18" t="str">
        <f aca="false">IF($S87="","",IF(LEFT($S87,6)="Tier 1","Pursue — trial + fast programme: 5% lifts read in 2–3 weeks",IF($S87="Tier 2","Qualify — bold tests only (10%+ lifts); funnel-wide, 3-week reads",IF($S87="Tier 3","Deprioritise — only exceptional (20%) changes read in 3 weeks",IF($S87="Not a fit","Do not trial A/B — purchase tests cannot read in 3 weeks","Trial only if tests are scored on CTA clicks / leads, not purchases")))))</f>
        <v/>
      </c>
      <c r="U87" s="19" t="str">
        <f aca="false">IF($L87="","",$L87*Assumptions!$C$17*$K87*12/1000000)</f>
        <v/>
      </c>
    </row>
    <row r="88" customFormat="false" ht="15" hidden="false" customHeight="false" outlineLevel="0" collapsed="false">
      <c r="A88" s="14"/>
      <c r="B88" s="14"/>
      <c r="C88" s="15"/>
      <c r="D88" s="15"/>
      <c r="E88" s="16"/>
      <c r="F88" s="16"/>
      <c r="G88" s="17"/>
      <c r="H88" s="15"/>
      <c r="I88" s="14"/>
      <c r="J88" s="18" t="str">
        <f aca="false">IF($C88&lt;&gt;"","Actual orders",IF($E88&lt;&gt;"","Est. from revenue",IF($D88&lt;&gt;"","Est. from traffic × CVR","")))</f>
        <v/>
      </c>
      <c r="K88" s="19" t="n">
        <f aca="false">IF($F88&lt;&gt;"",$F88,IFERROR(INDEX(Assumptions!$D$28:$D$39,MATCH($B88,Assumptions!$B$28:$B$39,0)),Assumptions!$C$19))</f>
        <v>250</v>
      </c>
      <c r="L88" s="20" t="str">
        <f aca="false">IF($C88&lt;&gt;"",$C88/Assumptions!$C$17,IF($E88&lt;&gt;"",$E88*1000000/12/$K88/Assumptions!$C$17,IF($D88&lt;&gt;"",$D88*IF($G88&lt;&gt;"",$G88,IFERROR(INDEX(Assumptions!$C$28:$C$39,MATCH($B88,Assumptions!$B$28:$B$39,0)),Assumptions!$C$18)),"")))</f>
        <v/>
      </c>
      <c r="M88" s="20" t="str">
        <f aca="false">IF($L88="","",IF($D88&lt;&gt;"",$D88,$L88/IF($G88&lt;&gt;"",$G88,IFERROR(INDEX(Assumptions!$C$28:$C$39,MATCH($B88,Assumptions!$B$28:$B$39,0)),Assumptions!$C$18))))</f>
        <v/>
      </c>
      <c r="N88" s="21" t="str">
        <f aca="false">IF($L88="","",MIN($L88/$M88,0.95))</f>
        <v/>
      </c>
      <c r="O88" s="20" t="str">
        <f aca="false">IF($L88="","",$L88*Assumptions!$C$17*12/52)</f>
        <v/>
      </c>
      <c r="P88" s="22" t="str">
        <f aca="false">IF($L88="","",14*((2*Assumptions!$C$23*($N88*(1-$N88)+$N88*(1+Assumptions!$C$11)*(1-$N88*(1+Assumptions!$C$11)))/($N88*Assumptions!$C$11)^2/Assumptions!$C$14)/($M88*Assumptions!$C$24))^(1/Assumptions!$C$16)/7)</f>
        <v/>
      </c>
      <c r="Q88" s="22" t="str">
        <f aca="false">IF($L88="","",14*((2*Assumptions!$C$23*($N88*(1-$N88)+$N88*(1+Assumptions!$C$12)*(1-$N88*(1+Assumptions!$C$12)))/($N88*Assumptions!$C$12)^2/Assumptions!$C$14)/($M88*Assumptions!$C$24))^(1/Assumptions!$C$16)/7)</f>
        <v/>
      </c>
      <c r="R88" s="22" t="str">
        <f aca="false">IF($L88="","",14*((2*Assumptions!$C$23*($N88*(1-$N88)+$N88*(1+Assumptions!$C$13)*(1-$N88*(1+Assumptions!$C$13)))/($N88*Assumptions!$C$13)^2/Assumptions!$C$14)/($M88*Assumptions!$C$24))^(1/Assumptions!$C$16)/7)</f>
        <v/>
      </c>
      <c r="S88" s="23" t="str">
        <f aca="false">IF($L88="","",IF($P88&lt;=Assumptions!$C$9,"Tier 1",IF($P88&lt;=Assumptions!$C$10,"Tier 1 (3-wk)",IF($Q88&lt;=Assumptions!$C$10,"Tier 2",IF($R88&lt;=Assumptions!$C$10,"Tier 3",IF(AND($H88&lt;&gt;"",14*((2*Assumptions!$C$23*(MIN($H88*52/12/$M88,0.95)*(1-MIN($H88*52/12/$M88,0.95))+MIN($H88*52/12/$M88,0.95)*(1+Assumptions!$C$12)*(1-MIN($H88*52/12/$M88,0.95)*(1+Assumptions!$C$12)))/(MIN($H88*52/12/$M88,0.95)*Assumptions!$C$12)^2/Assumptions!$C$14)/($M88*Assumptions!$C$24))^(1/Assumptions!$C$16)/7&lt;=Assumptions!$C$10),"Not a fit — micro-conversion tests only","Not a fit"))))))</f>
        <v/>
      </c>
      <c r="T88" s="18" t="str">
        <f aca="false">IF($S88="","",IF(LEFT($S88,6)="Tier 1","Pursue — trial + fast programme: 5% lifts read in 2–3 weeks",IF($S88="Tier 2","Qualify — bold tests only (10%+ lifts); funnel-wide, 3-week reads",IF($S88="Tier 3","Deprioritise — only exceptional (20%) changes read in 3 weeks",IF($S88="Not a fit","Do not trial A/B — purchase tests cannot read in 3 weeks","Trial only if tests are scored on CTA clicks / leads, not purchases")))))</f>
        <v/>
      </c>
      <c r="U88" s="19" t="str">
        <f aca="false">IF($L88="","",$L88*Assumptions!$C$17*$K88*12/1000000)</f>
        <v/>
      </c>
    </row>
    <row r="89" customFormat="false" ht="15" hidden="false" customHeight="false" outlineLevel="0" collapsed="false">
      <c r="A89" s="14"/>
      <c r="B89" s="14"/>
      <c r="C89" s="15"/>
      <c r="D89" s="15"/>
      <c r="E89" s="16"/>
      <c r="F89" s="16"/>
      <c r="G89" s="17"/>
      <c r="H89" s="15"/>
      <c r="I89" s="14"/>
      <c r="J89" s="18" t="str">
        <f aca="false">IF($C89&lt;&gt;"","Actual orders",IF($E89&lt;&gt;"","Est. from revenue",IF($D89&lt;&gt;"","Est. from traffic × CVR","")))</f>
        <v/>
      </c>
      <c r="K89" s="19" t="n">
        <f aca="false">IF($F89&lt;&gt;"",$F89,IFERROR(INDEX(Assumptions!$D$28:$D$39,MATCH($B89,Assumptions!$B$28:$B$39,0)),Assumptions!$C$19))</f>
        <v>250</v>
      </c>
      <c r="L89" s="20" t="str">
        <f aca="false">IF($C89&lt;&gt;"",$C89/Assumptions!$C$17,IF($E89&lt;&gt;"",$E89*1000000/12/$K89/Assumptions!$C$17,IF($D89&lt;&gt;"",$D89*IF($G89&lt;&gt;"",$G89,IFERROR(INDEX(Assumptions!$C$28:$C$39,MATCH($B89,Assumptions!$B$28:$B$39,0)),Assumptions!$C$18)),"")))</f>
        <v/>
      </c>
      <c r="M89" s="20" t="str">
        <f aca="false">IF($L89="","",IF($D89&lt;&gt;"",$D89,$L89/IF($G89&lt;&gt;"",$G89,IFERROR(INDEX(Assumptions!$C$28:$C$39,MATCH($B89,Assumptions!$B$28:$B$39,0)),Assumptions!$C$18))))</f>
        <v/>
      </c>
      <c r="N89" s="21" t="str">
        <f aca="false">IF($L89="","",MIN($L89/$M89,0.95))</f>
        <v/>
      </c>
      <c r="O89" s="20" t="str">
        <f aca="false">IF($L89="","",$L89*Assumptions!$C$17*12/52)</f>
        <v/>
      </c>
      <c r="P89" s="22" t="str">
        <f aca="false">IF($L89="","",14*((2*Assumptions!$C$23*($N89*(1-$N89)+$N89*(1+Assumptions!$C$11)*(1-$N89*(1+Assumptions!$C$11)))/($N89*Assumptions!$C$11)^2/Assumptions!$C$14)/($M89*Assumptions!$C$24))^(1/Assumptions!$C$16)/7)</f>
        <v/>
      </c>
      <c r="Q89" s="22" t="str">
        <f aca="false">IF($L89="","",14*((2*Assumptions!$C$23*($N89*(1-$N89)+$N89*(1+Assumptions!$C$12)*(1-$N89*(1+Assumptions!$C$12)))/($N89*Assumptions!$C$12)^2/Assumptions!$C$14)/($M89*Assumptions!$C$24))^(1/Assumptions!$C$16)/7)</f>
        <v/>
      </c>
      <c r="R89" s="22" t="str">
        <f aca="false">IF($L89="","",14*((2*Assumptions!$C$23*($N89*(1-$N89)+$N89*(1+Assumptions!$C$13)*(1-$N89*(1+Assumptions!$C$13)))/($N89*Assumptions!$C$13)^2/Assumptions!$C$14)/($M89*Assumptions!$C$24))^(1/Assumptions!$C$16)/7)</f>
        <v/>
      </c>
      <c r="S89" s="23" t="str">
        <f aca="false">IF($L89="","",IF($P89&lt;=Assumptions!$C$9,"Tier 1",IF($P89&lt;=Assumptions!$C$10,"Tier 1 (3-wk)",IF($Q89&lt;=Assumptions!$C$10,"Tier 2",IF($R89&lt;=Assumptions!$C$10,"Tier 3",IF(AND($H89&lt;&gt;"",14*((2*Assumptions!$C$23*(MIN($H89*52/12/$M89,0.95)*(1-MIN($H89*52/12/$M89,0.95))+MIN($H89*52/12/$M89,0.95)*(1+Assumptions!$C$12)*(1-MIN($H89*52/12/$M89,0.95)*(1+Assumptions!$C$12)))/(MIN($H89*52/12/$M89,0.95)*Assumptions!$C$12)^2/Assumptions!$C$14)/($M89*Assumptions!$C$24))^(1/Assumptions!$C$16)/7&lt;=Assumptions!$C$10),"Not a fit — micro-conversion tests only","Not a fit"))))))</f>
        <v/>
      </c>
      <c r="T89" s="18" t="str">
        <f aca="false">IF($S89="","",IF(LEFT($S89,6)="Tier 1","Pursue — trial + fast programme: 5% lifts read in 2–3 weeks",IF($S89="Tier 2","Qualify — bold tests only (10%+ lifts); funnel-wide, 3-week reads",IF($S89="Tier 3","Deprioritise — only exceptional (20%) changes read in 3 weeks",IF($S89="Not a fit","Do not trial A/B — purchase tests cannot read in 3 weeks","Trial only if tests are scored on CTA clicks / leads, not purchases")))))</f>
        <v/>
      </c>
      <c r="U89" s="19" t="str">
        <f aca="false">IF($L89="","",$L89*Assumptions!$C$17*$K89*12/1000000)</f>
        <v/>
      </c>
    </row>
    <row r="90" customFormat="false" ht="15" hidden="false" customHeight="false" outlineLevel="0" collapsed="false">
      <c r="A90" s="14"/>
      <c r="B90" s="14"/>
      <c r="C90" s="15"/>
      <c r="D90" s="15"/>
      <c r="E90" s="16"/>
      <c r="F90" s="16"/>
      <c r="G90" s="17"/>
      <c r="H90" s="15"/>
      <c r="I90" s="14"/>
      <c r="J90" s="18" t="str">
        <f aca="false">IF($C90&lt;&gt;"","Actual orders",IF($E90&lt;&gt;"","Est. from revenue",IF($D90&lt;&gt;"","Est. from traffic × CVR","")))</f>
        <v/>
      </c>
      <c r="K90" s="19" t="n">
        <f aca="false">IF($F90&lt;&gt;"",$F90,IFERROR(INDEX(Assumptions!$D$28:$D$39,MATCH($B90,Assumptions!$B$28:$B$39,0)),Assumptions!$C$19))</f>
        <v>250</v>
      </c>
      <c r="L90" s="20" t="str">
        <f aca="false">IF($C90&lt;&gt;"",$C90/Assumptions!$C$17,IF($E90&lt;&gt;"",$E90*1000000/12/$K90/Assumptions!$C$17,IF($D90&lt;&gt;"",$D90*IF($G90&lt;&gt;"",$G90,IFERROR(INDEX(Assumptions!$C$28:$C$39,MATCH($B90,Assumptions!$B$28:$B$39,0)),Assumptions!$C$18)),"")))</f>
        <v/>
      </c>
      <c r="M90" s="20" t="str">
        <f aca="false">IF($L90="","",IF($D90&lt;&gt;"",$D90,$L90/IF($G90&lt;&gt;"",$G90,IFERROR(INDEX(Assumptions!$C$28:$C$39,MATCH($B90,Assumptions!$B$28:$B$39,0)),Assumptions!$C$18))))</f>
        <v/>
      </c>
      <c r="N90" s="21" t="str">
        <f aca="false">IF($L90="","",MIN($L90/$M90,0.95))</f>
        <v/>
      </c>
      <c r="O90" s="20" t="str">
        <f aca="false">IF($L90="","",$L90*Assumptions!$C$17*12/52)</f>
        <v/>
      </c>
      <c r="P90" s="22" t="str">
        <f aca="false">IF($L90="","",14*((2*Assumptions!$C$23*($N90*(1-$N90)+$N90*(1+Assumptions!$C$11)*(1-$N90*(1+Assumptions!$C$11)))/($N90*Assumptions!$C$11)^2/Assumptions!$C$14)/($M90*Assumptions!$C$24))^(1/Assumptions!$C$16)/7)</f>
        <v/>
      </c>
      <c r="Q90" s="22" t="str">
        <f aca="false">IF($L90="","",14*((2*Assumptions!$C$23*($N90*(1-$N90)+$N90*(1+Assumptions!$C$12)*(1-$N90*(1+Assumptions!$C$12)))/($N90*Assumptions!$C$12)^2/Assumptions!$C$14)/($M90*Assumptions!$C$24))^(1/Assumptions!$C$16)/7)</f>
        <v/>
      </c>
      <c r="R90" s="22" t="str">
        <f aca="false">IF($L90="","",14*((2*Assumptions!$C$23*($N90*(1-$N90)+$N90*(1+Assumptions!$C$13)*(1-$N90*(1+Assumptions!$C$13)))/($N90*Assumptions!$C$13)^2/Assumptions!$C$14)/($M90*Assumptions!$C$24))^(1/Assumptions!$C$16)/7)</f>
        <v/>
      </c>
      <c r="S90" s="23" t="str">
        <f aca="false">IF($L90="","",IF($P90&lt;=Assumptions!$C$9,"Tier 1",IF($P90&lt;=Assumptions!$C$10,"Tier 1 (3-wk)",IF($Q90&lt;=Assumptions!$C$10,"Tier 2",IF($R90&lt;=Assumptions!$C$10,"Tier 3",IF(AND($H90&lt;&gt;"",14*((2*Assumptions!$C$23*(MIN($H90*52/12/$M90,0.95)*(1-MIN($H90*52/12/$M90,0.95))+MIN($H90*52/12/$M90,0.95)*(1+Assumptions!$C$12)*(1-MIN($H90*52/12/$M90,0.95)*(1+Assumptions!$C$12)))/(MIN($H90*52/12/$M90,0.95)*Assumptions!$C$12)^2/Assumptions!$C$14)/($M90*Assumptions!$C$24))^(1/Assumptions!$C$16)/7&lt;=Assumptions!$C$10),"Not a fit — micro-conversion tests only","Not a fit"))))))</f>
        <v/>
      </c>
      <c r="T90" s="18" t="str">
        <f aca="false">IF($S90="","",IF(LEFT($S90,6)="Tier 1","Pursue — trial + fast programme: 5% lifts read in 2–3 weeks",IF($S90="Tier 2","Qualify — bold tests only (10%+ lifts); funnel-wide, 3-week reads",IF($S90="Tier 3","Deprioritise — only exceptional (20%) changes read in 3 weeks",IF($S90="Not a fit","Do not trial A/B — purchase tests cannot read in 3 weeks","Trial only if tests are scored on CTA clicks / leads, not purchases")))))</f>
        <v/>
      </c>
      <c r="U90" s="19" t="str">
        <f aca="false">IF($L90="","",$L90*Assumptions!$C$17*$K90*12/1000000)</f>
        <v/>
      </c>
    </row>
    <row r="91" customFormat="false" ht="15" hidden="false" customHeight="false" outlineLevel="0" collapsed="false">
      <c r="A91" s="14"/>
      <c r="B91" s="14"/>
      <c r="C91" s="15"/>
      <c r="D91" s="15"/>
      <c r="E91" s="16"/>
      <c r="F91" s="16"/>
      <c r="G91" s="17"/>
      <c r="H91" s="15"/>
      <c r="I91" s="14"/>
      <c r="J91" s="18" t="str">
        <f aca="false">IF($C91&lt;&gt;"","Actual orders",IF($E91&lt;&gt;"","Est. from revenue",IF($D91&lt;&gt;"","Est. from traffic × CVR","")))</f>
        <v/>
      </c>
      <c r="K91" s="19" t="n">
        <f aca="false">IF($F91&lt;&gt;"",$F91,IFERROR(INDEX(Assumptions!$D$28:$D$39,MATCH($B91,Assumptions!$B$28:$B$39,0)),Assumptions!$C$19))</f>
        <v>250</v>
      </c>
      <c r="L91" s="20" t="str">
        <f aca="false">IF($C91&lt;&gt;"",$C91/Assumptions!$C$17,IF($E91&lt;&gt;"",$E91*1000000/12/$K91/Assumptions!$C$17,IF($D91&lt;&gt;"",$D91*IF($G91&lt;&gt;"",$G91,IFERROR(INDEX(Assumptions!$C$28:$C$39,MATCH($B91,Assumptions!$B$28:$B$39,0)),Assumptions!$C$18)),"")))</f>
        <v/>
      </c>
      <c r="M91" s="20" t="str">
        <f aca="false">IF($L91="","",IF($D91&lt;&gt;"",$D91,$L91/IF($G91&lt;&gt;"",$G91,IFERROR(INDEX(Assumptions!$C$28:$C$39,MATCH($B91,Assumptions!$B$28:$B$39,0)),Assumptions!$C$18))))</f>
        <v/>
      </c>
      <c r="N91" s="21" t="str">
        <f aca="false">IF($L91="","",MIN($L91/$M91,0.95))</f>
        <v/>
      </c>
      <c r="O91" s="20" t="str">
        <f aca="false">IF($L91="","",$L91*Assumptions!$C$17*12/52)</f>
        <v/>
      </c>
      <c r="P91" s="22" t="str">
        <f aca="false">IF($L91="","",14*((2*Assumptions!$C$23*($N91*(1-$N91)+$N91*(1+Assumptions!$C$11)*(1-$N91*(1+Assumptions!$C$11)))/($N91*Assumptions!$C$11)^2/Assumptions!$C$14)/($M91*Assumptions!$C$24))^(1/Assumptions!$C$16)/7)</f>
        <v/>
      </c>
      <c r="Q91" s="22" t="str">
        <f aca="false">IF($L91="","",14*((2*Assumptions!$C$23*($N91*(1-$N91)+$N91*(1+Assumptions!$C$12)*(1-$N91*(1+Assumptions!$C$12)))/($N91*Assumptions!$C$12)^2/Assumptions!$C$14)/($M91*Assumptions!$C$24))^(1/Assumptions!$C$16)/7)</f>
        <v/>
      </c>
      <c r="R91" s="22" t="str">
        <f aca="false">IF($L91="","",14*((2*Assumptions!$C$23*($N91*(1-$N91)+$N91*(1+Assumptions!$C$13)*(1-$N91*(1+Assumptions!$C$13)))/($N91*Assumptions!$C$13)^2/Assumptions!$C$14)/($M91*Assumptions!$C$24))^(1/Assumptions!$C$16)/7)</f>
        <v/>
      </c>
      <c r="S91" s="23" t="str">
        <f aca="false">IF($L91="","",IF($P91&lt;=Assumptions!$C$9,"Tier 1",IF($P91&lt;=Assumptions!$C$10,"Tier 1 (3-wk)",IF($Q91&lt;=Assumptions!$C$10,"Tier 2",IF($R91&lt;=Assumptions!$C$10,"Tier 3",IF(AND($H91&lt;&gt;"",14*((2*Assumptions!$C$23*(MIN($H91*52/12/$M91,0.95)*(1-MIN($H91*52/12/$M91,0.95))+MIN($H91*52/12/$M91,0.95)*(1+Assumptions!$C$12)*(1-MIN($H91*52/12/$M91,0.95)*(1+Assumptions!$C$12)))/(MIN($H91*52/12/$M91,0.95)*Assumptions!$C$12)^2/Assumptions!$C$14)/($M91*Assumptions!$C$24))^(1/Assumptions!$C$16)/7&lt;=Assumptions!$C$10),"Not a fit — micro-conversion tests only","Not a fit"))))))</f>
        <v/>
      </c>
      <c r="T91" s="18" t="str">
        <f aca="false">IF($S91="","",IF(LEFT($S91,6)="Tier 1","Pursue — trial + fast programme: 5% lifts read in 2–3 weeks",IF($S91="Tier 2","Qualify — bold tests only (10%+ lifts); funnel-wide, 3-week reads",IF($S91="Tier 3","Deprioritise — only exceptional (20%) changes read in 3 weeks",IF($S91="Not a fit","Do not trial A/B — purchase tests cannot read in 3 weeks","Trial only if tests are scored on CTA clicks / leads, not purchases")))))</f>
        <v/>
      </c>
      <c r="U91" s="19" t="str">
        <f aca="false">IF($L91="","",$L91*Assumptions!$C$17*$K91*12/1000000)</f>
        <v/>
      </c>
    </row>
    <row r="92" customFormat="false" ht="15" hidden="false" customHeight="false" outlineLevel="0" collapsed="false">
      <c r="A92" s="14"/>
      <c r="B92" s="14"/>
      <c r="C92" s="15"/>
      <c r="D92" s="15"/>
      <c r="E92" s="16"/>
      <c r="F92" s="16"/>
      <c r="G92" s="17"/>
      <c r="H92" s="15"/>
      <c r="I92" s="14"/>
      <c r="J92" s="18" t="str">
        <f aca="false">IF($C92&lt;&gt;"","Actual orders",IF($E92&lt;&gt;"","Est. from revenue",IF($D92&lt;&gt;"","Est. from traffic × CVR","")))</f>
        <v/>
      </c>
      <c r="K92" s="19" t="n">
        <f aca="false">IF($F92&lt;&gt;"",$F92,IFERROR(INDEX(Assumptions!$D$28:$D$39,MATCH($B92,Assumptions!$B$28:$B$39,0)),Assumptions!$C$19))</f>
        <v>250</v>
      </c>
      <c r="L92" s="20" t="str">
        <f aca="false">IF($C92&lt;&gt;"",$C92/Assumptions!$C$17,IF($E92&lt;&gt;"",$E92*1000000/12/$K92/Assumptions!$C$17,IF($D92&lt;&gt;"",$D92*IF($G92&lt;&gt;"",$G92,IFERROR(INDEX(Assumptions!$C$28:$C$39,MATCH($B92,Assumptions!$B$28:$B$39,0)),Assumptions!$C$18)),"")))</f>
        <v/>
      </c>
      <c r="M92" s="20" t="str">
        <f aca="false">IF($L92="","",IF($D92&lt;&gt;"",$D92,$L92/IF($G92&lt;&gt;"",$G92,IFERROR(INDEX(Assumptions!$C$28:$C$39,MATCH($B92,Assumptions!$B$28:$B$39,0)),Assumptions!$C$18))))</f>
        <v/>
      </c>
      <c r="N92" s="21" t="str">
        <f aca="false">IF($L92="","",MIN($L92/$M92,0.95))</f>
        <v/>
      </c>
      <c r="O92" s="20" t="str">
        <f aca="false">IF($L92="","",$L92*Assumptions!$C$17*12/52)</f>
        <v/>
      </c>
      <c r="P92" s="22" t="str">
        <f aca="false">IF($L92="","",14*((2*Assumptions!$C$23*($N92*(1-$N92)+$N92*(1+Assumptions!$C$11)*(1-$N92*(1+Assumptions!$C$11)))/($N92*Assumptions!$C$11)^2/Assumptions!$C$14)/($M92*Assumptions!$C$24))^(1/Assumptions!$C$16)/7)</f>
        <v/>
      </c>
      <c r="Q92" s="22" t="str">
        <f aca="false">IF($L92="","",14*((2*Assumptions!$C$23*($N92*(1-$N92)+$N92*(1+Assumptions!$C$12)*(1-$N92*(1+Assumptions!$C$12)))/($N92*Assumptions!$C$12)^2/Assumptions!$C$14)/($M92*Assumptions!$C$24))^(1/Assumptions!$C$16)/7)</f>
        <v/>
      </c>
      <c r="R92" s="22" t="str">
        <f aca="false">IF($L92="","",14*((2*Assumptions!$C$23*($N92*(1-$N92)+$N92*(1+Assumptions!$C$13)*(1-$N92*(1+Assumptions!$C$13)))/($N92*Assumptions!$C$13)^2/Assumptions!$C$14)/($M92*Assumptions!$C$24))^(1/Assumptions!$C$16)/7)</f>
        <v/>
      </c>
      <c r="S92" s="23" t="str">
        <f aca="false">IF($L92="","",IF($P92&lt;=Assumptions!$C$9,"Tier 1",IF($P92&lt;=Assumptions!$C$10,"Tier 1 (3-wk)",IF($Q92&lt;=Assumptions!$C$10,"Tier 2",IF($R92&lt;=Assumptions!$C$10,"Tier 3",IF(AND($H92&lt;&gt;"",14*((2*Assumptions!$C$23*(MIN($H92*52/12/$M92,0.95)*(1-MIN($H92*52/12/$M92,0.95))+MIN($H92*52/12/$M92,0.95)*(1+Assumptions!$C$12)*(1-MIN($H92*52/12/$M92,0.95)*(1+Assumptions!$C$12)))/(MIN($H92*52/12/$M92,0.95)*Assumptions!$C$12)^2/Assumptions!$C$14)/($M92*Assumptions!$C$24))^(1/Assumptions!$C$16)/7&lt;=Assumptions!$C$10),"Not a fit — micro-conversion tests only","Not a fit"))))))</f>
        <v/>
      </c>
      <c r="T92" s="18" t="str">
        <f aca="false">IF($S92="","",IF(LEFT($S92,6)="Tier 1","Pursue — trial + fast programme: 5% lifts read in 2–3 weeks",IF($S92="Tier 2","Qualify — bold tests only (10%+ lifts); funnel-wide, 3-week reads",IF($S92="Tier 3","Deprioritise — only exceptional (20%) changes read in 3 weeks",IF($S92="Not a fit","Do not trial A/B — purchase tests cannot read in 3 weeks","Trial only if tests are scored on CTA clicks / leads, not purchases")))))</f>
        <v/>
      </c>
      <c r="U92" s="19" t="str">
        <f aca="false">IF($L92="","",$L92*Assumptions!$C$17*$K92*12/1000000)</f>
        <v/>
      </c>
    </row>
    <row r="93" customFormat="false" ht="15" hidden="false" customHeight="false" outlineLevel="0" collapsed="false">
      <c r="A93" s="14"/>
      <c r="B93" s="14"/>
      <c r="C93" s="15"/>
      <c r="D93" s="15"/>
      <c r="E93" s="16"/>
      <c r="F93" s="16"/>
      <c r="G93" s="17"/>
      <c r="H93" s="15"/>
      <c r="I93" s="14"/>
      <c r="J93" s="18" t="str">
        <f aca="false">IF($C93&lt;&gt;"","Actual orders",IF($E93&lt;&gt;"","Est. from revenue",IF($D93&lt;&gt;"","Est. from traffic × CVR","")))</f>
        <v/>
      </c>
      <c r="K93" s="19" t="n">
        <f aca="false">IF($F93&lt;&gt;"",$F93,IFERROR(INDEX(Assumptions!$D$28:$D$39,MATCH($B93,Assumptions!$B$28:$B$39,0)),Assumptions!$C$19))</f>
        <v>250</v>
      </c>
      <c r="L93" s="20" t="str">
        <f aca="false">IF($C93&lt;&gt;"",$C93/Assumptions!$C$17,IF($E93&lt;&gt;"",$E93*1000000/12/$K93/Assumptions!$C$17,IF($D93&lt;&gt;"",$D93*IF($G93&lt;&gt;"",$G93,IFERROR(INDEX(Assumptions!$C$28:$C$39,MATCH($B93,Assumptions!$B$28:$B$39,0)),Assumptions!$C$18)),"")))</f>
        <v/>
      </c>
      <c r="M93" s="20" t="str">
        <f aca="false">IF($L93="","",IF($D93&lt;&gt;"",$D93,$L93/IF($G93&lt;&gt;"",$G93,IFERROR(INDEX(Assumptions!$C$28:$C$39,MATCH($B93,Assumptions!$B$28:$B$39,0)),Assumptions!$C$18))))</f>
        <v/>
      </c>
      <c r="N93" s="21" t="str">
        <f aca="false">IF($L93="","",MIN($L93/$M93,0.95))</f>
        <v/>
      </c>
      <c r="O93" s="20" t="str">
        <f aca="false">IF($L93="","",$L93*Assumptions!$C$17*12/52)</f>
        <v/>
      </c>
      <c r="P93" s="22" t="str">
        <f aca="false">IF($L93="","",14*((2*Assumptions!$C$23*($N93*(1-$N93)+$N93*(1+Assumptions!$C$11)*(1-$N93*(1+Assumptions!$C$11)))/($N93*Assumptions!$C$11)^2/Assumptions!$C$14)/($M93*Assumptions!$C$24))^(1/Assumptions!$C$16)/7)</f>
        <v/>
      </c>
      <c r="Q93" s="22" t="str">
        <f aca="false">IF($L93="","",14*((2*Assumptions!$C$23*($N93*(1-$N93)+$N93*(1+Assumptions!$C$12)*(1-$N93*(1+Assumptions!$C$12)))/($N93*Assumptions!$C$12)^2/Assumptions!$C$14)/($M93*Assumptions!$C$24))^(1/Assumptions!$C$16)/7)</f>
        <v/>
      </c>
      <c r="R93" s="22" t="str">
        <f aca="false">IF($L93="","",14*((2*Assumptions!$C$23*($N93*(1-$N93)+$N93*(1+Assumptions!$C$13)*(1-$N93*(1+Assumptions!$C$13)))/($N93*Assumptions!$C$13)^2/Assumptions!$C$14)/($M93*Assumptions!$C$24))^(1/Assumptions!$C$16)/7)</f>
        <v/>
      </c>
      <c r="S93" s="23" t="str">
        <f aca="false">IF($L93="","",IF($P93&lt;=Assumptions!$C$9,"Tier 1",IF($P93&lt;=Assumptions!$C$10,"Tier 1 (3-wk)",IF($Q93&lt;=Assumptions!$C$10,"Tier 2",IF($R93&lt;=Assumptions!$C$10,"Tier 3",IF(AND($H93&lt;&gt;"",14*((2*Assumptions!$C$23*(MIN($H93*52/12/$M93,0.95)*(1-MIN($H93*52/12/$M93,0.95))+MIN($H93*52/12/$M93,0.95)*(1+Assumptions!$C$12)*(1-MIN($H93*52/12/$M93,0.95)*(1+Assumptions!$C$12)))/(MIN($H93*52/12/$M93,0.95)*Assumptions!$C$12)^2/Assumptions!$C$14)/($M93*Assumptions!$C$24))^(1/Assumptions!$C$16)/7&lt;=Assumptions!$C$10),"Not a fit — micro-conversion tests only","Not a fit"))))))</f>
        <v/>
      </c>
      <c r="T93" s="18" t="str">
        <f aca="false">IF($S93="","",IF(LEFT($S93,6)="Tier 1","Pursue — trial + fast programme: 5% lifts read in 2–3 weeks",IF($S93="Tier 2","Qualify — bold tests only (10%+ lifts); funnel-wide, 3-week reads",IF($S93="Tier 3","Deprioritise — only exceptional (20%) changes read in 3 weeks",IF($S93="Not a fit","Do not trial A/B — purchase tests cannot read in 3 weeks","Trial only if tests are scored on CTA clicks / leads, not purchases")))))</f>
        <v/>
      </c>
      <c r="U93" s="19" t="str">
        <f aca="false">IF($L93="","",$L93*Assumptions!$C$17*$K93*12/1000000)</f>
        <v/>
      </c>
    </row>
    <row r="94" customFormat="false" ht="15" hidden="false" customHeight="false" outlineLevel="0" collapsed="false">
      <c r="A94" s="14"/>
      <c r="B94" s="14"/>
      <c r="C94" s="15"/>
      <c r="D94" s="15"/>
      <c r="E94" s="16"/>
      <c r="F94" s="16"/>
      <c r="G94" s="17"/>
      <c r="H94" s="15"/>
      <c r="I94" s="14"/>
      <c r="J94" s="18" t="str">
        <f aca="false">IF($C94&lt;&gt;"","Actual orders",IF($E94&lt;&gt;"","Est. from revenue",IF($D94&lt;&gt;"","Est. from traffic × CVR","")))</f>
        <v/>
      </c>
      <c r="K94" s="19" t="n">
        <f aca="false">IF($F94&lt;&gt;"",$F94,IFERROR(INDEX(Assumptions!$D$28:$D$39,MATCH($B94,Assumptions!$B$28:$B$39,0)),Assumptions!$C$19))</f>
        <v>250</v>
      </c>
      <c r="L94" s="20" t="str">
        <f aca="false">IF($C94&lt;&gt;"",$C94/Assumptions!$C$17,IF($E94&lt;&gt;"",$E94*1000000/12/$K94/Assumptions!$C$17,IF($D94&lt;&gt;"",$D94*IF($G94&lt;&gt;"",$G94,IFERROR(INDEX(Assumptions!$C$28:$C$39,MATCH($B94,Assumptions!$B$28:$B$39,0)),Assumptions!$C$18)),"")))</f>
        <v/>
      </c>
      <c r="M94" s="20" t="str">
        <f aca="false">IF($L94="","",IF($D94&lt;&gt;"",$D94,$L94/IF($G94&lt;&gt;"",$G94,IFERROR(INDEX(Assumptions!$C$28:$C$39,MATCH($B94,Assumptions!$B$28:$B$39,0)),Assumptions!$C$18))))</f>
        <v/>
      </c>
      <c r="N94" s="21" t="str">
        <f aca="false">IF($L94="","",MIN($L94/$M94,0.95))</f>
        <v/>
      </c>
      <c r="O94" s="20" t="str">
        <f aca="false">IF($L94="","",$L94*Assumptions!$C$17*12/52)</f>
        <v/>
      </c>
      <c r="P94" s="22" t="str">
        <f aca="false">IF($L94="","",14*((2*Assumptions!$C$23*($N94*(1-$N94)+$N94*(1+Assumptions!$C$11)*(1-$N94*(1+Assumptions!$C$11)))/($N94*Assumptions!$C$11)^2/Assumptions!$C$14)/($M94*Assumptions!$C$24))^(1/Assumptions!$C$16)/7)</f>
        <v/>
      </c>
      <c r="Q94" s="22" t="str">
        <f aca="false">IF($L94="","",14*((2*Assumptions!$C$23*($N94*(1-$N94)+$N94*(1+Assumptions!$C$12)*(1-$N94*(1+Assumptions!$C$12)))/($N94*Assumptions!$C$12)^2/Assumptions!$C$14)/($M94*Assumptions!$C$24))^(1/Assumptions!$C$16)/7)</f>
        <v/>
      </c>
      <c r="R94" s="22" t="str">
        <f aca="false">IF($L94="","",14*((2*Assumptions!$C$23*($N94*(1-$N94)+$N94*(1+Assumptions!$C$13)*(1-$N94*(1+Assumptions!$C$13)))/($N94*Assumptions!$C$13)^2/Assumptions!$C$14)/($M94*Assumptions!$C$24))^(1/Assumptions!$C$16)/7)</f>
        <v/>
      </c>
      <c r="S94" s="23" t="str">
        <f aca="false">IF($L94="","",IF($P94&lt;=Assumptions!$C$9,"Tier 1",IF($P94&lt;=Assumptions!$C$10,"Tier 1 (3-wk)",IF($Q94&lt;=Assumptions!$C$10,"Tier 2",IF($R94&lt;=Assumptions!$C$10,"Tier 3",IF(AND($H94&lt;&gt;"",14*((2*Assumptions!$C$23*(MIN($H94*52/12/$M94,0.95)*(1-MIN($H94*52/12/$M94,0.95))+MIN($H94*52/12/$M94,0.95)*(1+Assumptions!$C$12)*(1-MIN($H94*52/12/$M94,0.95)*(1+Assumptions!$C$12)))/(MIN($H94*52/12/$M94,0.95)*Assumptions!$C$12)^2/Assumptions!$C$14)/($M94*Assumptions!$C$24))^(1/Assumptions!$C$16)/7&lt;=Assumptions!$C$10),"Not a fit — micro-conversion tests only","Not a fit"))))))</f>
        <v/>
      </c>
      <c r="T94" s="18" t="str">
        <f aca="false">IF($S94="","",IF(LEFT($S94,6)="Tier 1","Pursue — trial + fast programme: 5% lifts read in 2–3 weeks",IF($S94="Tier 2","Qualify — bold tests only (10%+ lifts); funnel-wide, 3-week reads",IF($S94="Tier 3","Deprioritise — only exceptional (20%) changes read in 3 weeks",IF($S94="Not a fit","Do not trial A/B — purchase tests cannot read in 3 weeks","Trial only if tests are scored on CTA clicks / leads, not purchases")))))</f>
        <v/>
      </c>
      <c r="U94" s="19" t="str">
        <f aca="false">IF($L94="","",$L94*Assumptions!$C$17*$K94*12/1000000)</f>
        <v/>
      </c>
    </row>
    <row r="95" customFormat="false" ht="15" hidden="false" customHeight="false" outlineLevel="0" collapsed="false">
      <c r="A95" s="14"/>
      <c r="B95" s="14"/>
      <c r="C95" s="15"/>
      <c r="D95" s="15"/>
      <c r="E95" s="16"/>
      <c r="F95" s="16"/>
      <c r="G95" s="17"/>
      <c r="H95" s="15"/>
      <c r="I95" s="14"/>
      <c r="J95" s="18" t="str">
        <f aca="false">IF($C95&lt;&gt;"","Actual orders",IF($E95&lt;&gt;"","Est. from revenue",IF($D95&lt;&gt;"","Est. from traffic × CVR","")))</f>
        <v/>
      </c>
      <c r="K95" s="19" t="n">
        <f aca="false">IF($F95&lt;&gt;"",$F95,IFERROR(INDEX(Assumptions!$D$28:$D$39,MATCH($B95,Assumptions!$B$28:$B$39,0)),Assumptions!$C$19))</f>
        <v>250</v>
      </c>
      <c r="L95" s="20" t="str">
        <f aca="false">IF($C95&lt;&gt;"",$C95/Assumptions!$C$17,IF($E95&lt;&gt;"",$E95*1000000/12/$K95/Assumptions!$C$17,IF($D95&lt;&gt;"",$D95*IF($G95&lt;&gt;"",$G95,IFERROR(INDEX(Assumptions!$C$28:$C$39,MATCH($B95,Assumptions!$B$28:$B$39,0)),Assumptions!$C$18)),"")))</f>
        <v/>
      </c>
      <c r="M95" s="20" t="str">
        <f aca="false">IF($L95="","",IF($D95&lt;&gt;"",$D95,$L95/IF($G95&lt;&gt;"",$G95,IFERROR(INDEX(Assumptions!$C$28:$C$39,MATCH($B95,Assumptions!$B$28:$B$39,0)),Assumptions!$C$18))))</f>
        <v/>
      </c>
      <c r="N95" s="21" t="str">
        <f aca="false">IF($L95="","",MIN($L95/$M95,0.95))</f>
        <v/>
      </c>
      <c r="O95" s="20" t="str">
        <f aca="false">IF($L95="","",$L95*Assumptions!$C$17*12/52)</f>
        <v/>
      </c>
      <c r="P95" s="22" t="str">
        <f aca="false">IF($L95="","",14*((2*Assumptions!$C$23*($N95*(1-$N95)+$N95*(1+Assumptions!$C$11)*(1-$N95*(1+Assumptions!$C$11)))/($N95*Assumptions!$C$11)^2/Assumptions!$C$14)/($M95*Assumptions!$C$24))^(1/Assumptions!$C$16)/7)</f>
        <v/>
      </c>
      <c r="Q95" s="22" t="str">
        <f aca="false">IF($L95="","",14*((2*Assumptions!$C$23*($N95*(1-$N95)+$N95*(1+Assumptions!$C$12)*(1-$N95*(1+Assumptions!$C$12)))/($N95*Assumptions!$C$12)^2/Assumptions!$C$14)/($M95*Assumptions!$C$24))^(1/Assumptions!$C$16)/7)</f>
        <v/>
      </c>
      <c r="R95" s="22" t="str">
        <f aca="false">IF($L95="","",14*((2*Assumptions!$C$23*($N95*(1-$N95)+$N95*(1+Assumptions!$C$13)*(1-$N95*(1+Assumptions!$C$13)))/($N95*Assumptions!$C$13)^2/Assumptions!$C$14)/($M95*Assumptions!$C$24))^(1/Assumptions!$C$16)/7)</f>
        <v/>
      </c>
      <c r="S95" s="23" t="str">
        <f aca="false">IF($L95="","",IF($P95&lt;=Assumptions!$C$9,"Tier 1",IF($P95&lt;=Assumptions!$C$10,"Tier 1 (3-wk)",IF($Q95&lt;=Assumptions!$C$10,"Tier 2",IF($R95&lt;=Assumptions!$C$10,"Tier 3",IF(AND($H95&lt;&gt;"",14*((2*Assumptions!$C$23*(MIN($H95*52/12/$M95,0.95)*(1-MIN($H95*52/12/$M95,0.95))+MIN($H95*52/12/$M95,0.95)*(1+Assumptions!$C$12)*(1-MIN($H95*52/12/$M95,0.95)*(1+Assumptions!$C$12)))/(MIN($H95*52/12/$M95,0.95)*Assumptions!$C$12)^2/Assumptions!$C$14)/($M95*Assumptions!$C$24))^(1/Assumptions!$C$16)/7&lt;=Assumptions!$C$10),"Not a fit — micro-conversion tests only","Not a fit"))))))</f>
        <v/>
      </c>
      <c r="T95" s="18" t="str">
        <f aca="false">IF($S95="","",IF(LEFT($S95,6)="Tier 1","Pursue — trial + fast programme: 5% lifts read in 2–3 weeks",IF($S95="Tier 2","Qualify — bold tests only (10%+ lifts); funnel-wide, 3-week reads",IF($S95="Tier 3","Deprioritise — only exceptional (20%) changes read in 3 weeks",IF($S95="Not a fit","Do not trial A/B — purchase tests cannot read in 3 weeks","Trial only if tests are scored on CTA clicks / leads, not purchases")))))</f>
        <v/>
      </c>
      <c r="U95" s="19" t="str">
        <f aca="false">IF($L95="","",$L95*Assumptions!$C$17*$K95*12/1000000)</f>
        <v/>
      </c>
    </row>
    <row r="96" customFormat="false" ht="15" hidden="false" customHeight="false" outlineLevel="0" collapsed="false">
      <c r="A96" s="14"/>
      <c r="B96" s="14"/>
      <c r="C96" s="15"/>
      <c r="D96" s="15"/>
      <c r="E96" s="16"/>
      <c r="F96" s="16"/>
      <c r="G96" s="17"/>
      <c r="H96" s="15"/>
      <c r="I96" s="14"/>
      <c r="J96" s="18" t="str">
        <f aca="false">IF($C96&lt;&gt;"","Actual orders",IF($E96&lt;&gt;"","Est. from revenue",IF($D96&lt;&gt;"","Est. from traffic × CVR","")))</f>
        <v/>
      </c>
      <c r="K96" s="19" t="n">
        <f aca="false">IF($F96&lt;&gt;"",$F96,IFERROR(INDEX(Assumptions!$D$28:$D$39,MATCH($B96,Assumptions!$B$28:$B$39,0)),Assumptions!$C$19))</f>
        <v>250</v>
      </c>
      <c r="L96" s="20" t="str">
        <f aca="false">IF($C96&lt;&gt;"",$C96/Assumptions!$C$17,IF($E96&lt;&gt;"",$E96*1000000/12/$K96/Assumptions!$C$17,IF($D96&lt;&gt;"",$D96*IF($G96&lt;&gt;"",$G96,IFERROR(INDEX(Assumptions!$C$28:$C$39,MATCH($B96,Assumptions!$B$28:$B$39,0)),Assumptions!$C$18)),"")))</f>
        <v/>
      </c>
      <c r="M96" s="20" t="str">
        <f aca="false">IF($L96="","",IF($D96&lt;&gt;"",$D96,$L96/IF($G96&lt;&gt;"",$G96,IFERROR(INDEX(Assumptions!$C$28:$C$39,MATCH($B96,Assumptions!$B$28:$B$39,0)),Assumptions!$C$18))))</f>
        <v/>
      </c>
      <c r="N96" s="21" t="str">
        <f aca="false">IF($L96="","",MIN($L96/$M96,0.95))</f>
        <v/>
      </c>
      <c r="O96" s="20" t="str">
        <f aca="false">IF($L96="","",$L96*Assumptions!$C$17*12/52)</f>
        <v/>
      </c>
      <c r="P96" s="22" t="str">
        <f aca="false">IF($L96="","",14*((2*Assumptions!$C$23*($N96*(1-$N96)+$N96*(1+Assumptions!$C$11)*(1-$N96*(1+Assumptions!$C$11)))/($N96*Assumptions!$C$11)^2/Assumptions!$C$14)/($M96*Assumptions!$C$24))^(1/Assumptions!$C$16)/7)</f>
        <v/>
      </c>
      <c r="Q96" s="22" t="str">
        <f aca="false">IF($L96="","",14*((2*Assumptions!$C$23*($N96*(1-$N96)+$N96*(1+Assumptions!$C$12)*(1-$N96*(1+Assumptions!$C$12)))/($N96*Assumptions!$C$12)^2/Assumptions!$C$14)/($M96*Assumptions!$C$24))^(1/Assumptions!$C$16)/7)</f>
        <v/>
      </c>
      <c r="R96" s="22" t="str">
        <f aca="false">IF($L96="","",14*((2*Assumptions!$C$23*($N96*(1-$N96)+$N96*(1+Assumptions!$C$13)*(1-$N96*(1+Assumptions!$C$13)))/($N96*Assumptions!$C$13)^2/Assumptions!$C$14)/($M96*Assumptions!$C$24))^(1/Assumptions!$C$16)/7)</f>
        <v/>
      </c>
      <c r="S96" s="23" t="str">
        <f aca="false">IF($L96="","",IF($P96&lt;=Assumptions!$C$9,"Tier 1",IF($P96&lt;=Assumptions!$C$10,"Tier 1 (3-wk)",IF($Q96&lt;=Assumptions!$C$10,"Tier 2",IF($R96&lt;=Assumptions!$C$10,"Tier 3",IF(AND($H96&lt;&gt;"",14*((2*Assumptions!$C$23*(MIN($H96*52/12/$M96,0.95)*(1-MIN($H96*52/12/$M96,0.95))+MIN($H96*52/12/$M96,0.95)*(1+Assumptions!$C$12)*(1-MIN($H96*52/12/$M96,0.95)*(1+Assumptions!$C$12)))/(MIN($H96*52/12/$M96,0.95)*Assumptions!$C$12)^2/Assumptions!$C$14)/($M96*Assumptions!$C$24))^(1/Assumptions!$C$16)/7&lt;=Assumptions!$C$10),"Not a fit — micro-conversion tests only","Not a fit"))))))</f>
        <v/>
      </c>
      <c r="T96" s="18" t="str">
        <f aca="false">IF($S96="","",IF(LEFT($S96,6)="Tier 1","Pursue — trial + fast programme: 5% lifts read in 2–3 weeks",IF($S96="Tier 2","Qualify — bold tests only (10%+ lifts); funnel-wide, 3-week reads",IF($S96="Tier 3","Deprioritise — only exceptional (20%) changes read in 3 weeks",IF($S96="Not a fit","Do not trial A/B — purchase tests cannot read in 3 weeks","Trial only if tests are scored on CTA clicks / leads, not purchases")))))</f>
        <v/>
      </c>
      <c r="U96" s="19" t="str">
        <f aca="false">IF($L96="","",$L96*Assumptions!$C$17*$K96*12/1000000)</f>
        <v/>
      </c>
    </row>
    <row r="97" customFormat="false" ht="15" hidden="false" customHeight="false" outlineLevel="0" collapsed="false">
      <c r="A97" s="14"/>
      <c r="B97" s="14"/>
      <c r="C97" s="15"/>
      <c r="D97" s="15"/>
      <c r="E97" s="16"/>
      <c r="F97" s="16"/>
      <c r="G97" s="17"/>
      <c r="H97" s="15"/>
      <c r="I97" s="14"/>
      <c r="J97" s="18" t="str">
        <f aca="false">IF($C97&lt;&gt;"","Actual orders",IF($E97&lt;&gt;"","Est. from revenue",IF($D97&lt;&gt;"","Est. from traffic × CVR","")))</f>
        <v/>
      </c>
      <c r="K97" s="19" t="n">
        <f aca="false">IF($F97&lt;&gt;"",$F97,IFERROR(INDEX(Assumptions!$D$28:$D$39,MATCH($B97,Assumptions!$B$28:$B$39,0)),Assumptions!$C$19))</f>
        <v>250</v>
      </c>
      <c r="L97" s="20" t="str">
        <f aca="false">IF($C97&lt;&gt;"",$C97/Assumptions!$C$17,IF($E97&lt;&gt;"",$E97*1000000/12/$K97/Assumptions!$C$17,IF($D97&lt;&gt;"",$D97*IF($G97&lt;&gt;"",$G97,IFERROR(INDEX(Assumptions!$C$28:$C$39,MATCH($B97,Assumptions!$B$28:$B$39,0)),Assumptions!$C$18)),"")))</f>
        <v/>
      </c>
      <c r="M97" s="20" t="str">
        <f aca="false">IF($L97="","",IF($D97&lt;&gt;"",$D97,$L97/IF($G97&lt;&gt;"",$G97,IFERROR(INDEX(Assumptions!$C$28:$C$39,MATCH($B97,Assumptions!$B$28:$B$39,0)),Assumptions!$C$18))))</f>
        <v/>
      </c>
      <c r="N97" s="21" t="str">
        <f aca="false">IF($L97="","",MIN($L97/$M97,0.95))</f>
        <v/>
      </c>
      <c r="O97" s="20" t="str">
        <f aca="false">IF($L97="","",$L97*Assumptions!$C$17*12/52)</f>
        <v/>
      </c>
      <c r="P97" s="22" t="str">
        <f aca="false">IF($L97="","",14*((2*Assumptions!$C$23*($N97*(1-$N97)+$N97*(1+Assumptions!$C$11)*(1-$N97*(1+Assumptions!$C$11)))/($N97*Assumptions!$C$11)^2/Assumptions!$C$14)/($M97*Assumptions!$C$24))^(1/Assumptions!$C$16)/7)</f>
        <v/>
      </c>
      <c r="Q97" s="22" t="str">
        <f aca="false">IF($L97="","",14*((2*Assumptions!$C$23*($N97*(1-$N97)+$N97*(1+Assumptions!$C$12)*(1-$N97*(1+Assumptions!$C$12)))/($N97*Assumptions!$C$12)^2/Assumptions!$C$14)/($M97*Assumptions!$C$24))^(1/Assumptions!$C$16)/7)</f>
        <v/>
      </c>
      <c r="R97" s="22" t="str">
        <f aca="false">IF($L97="","",14*((2*Assumptions!$C$23*($N97*(1-$N97)+$N97*(1+Assumptions!$C$13)*(1-$N97*(1+Assumptions!$C$13)))/($N97*Assumptions!$C$13)^2/Assumptions!$C$14)/($M97*Assumptions!$C$24))^(1/Assumptions!$C$16)/7)</f>
        <v/>
      </c>
      <c r="S97" s="23" t="str">
        <f aca="false">IF($L97="","",IF($P97&lt;=Assumptions!$C$9,"Tier 1",IF($P97&lt;=Assumptions!$C$10,"Tier 1 (3-wk)",IF($Q97&lt;=Assumptions!$C$10,"Tier 2",IF($R97&lt;=Assumptions!$C$10,"Tier 3",IF(AND($H97&lt;&gt;"",14*((2*Assumptions!$C$23*(MIN($H97*52/12/$M97,0.95)*(1-MIN($H97*52/12/$M97,0.95))+MIN($H97*52/12/$M97,0.95)*(1+Assumptions!$C$12)*(1-MIN($H97*52/12/$M97,0.95)*(1+Assumptions!$C$12)))/(MIN($H97*52/12/$M97,0.95)*Assumptions!$C$12)^2/Assumptions!$C$14)/($M97*Assumptions!$C$24))^(1/Assumptions!$C$16)/7&lt;=Assumptions!$C$10),"Not a fit — micro-conversion tests only","Not a fit"))))))</f>
        <v/>
      </c>
      <c r="T97" s="18" t="str">
        <f aca="false">IF($S97="","",IF(LEFT($S97,6)="Tier 1","Pursue — trial + fast programme: 5% lifts read in 2–3 weeks",IF($S97="Tier 2","Qualify — bold tests only (10%+ lifts); funnel-wide, 3-week reads",IF($S97="Tier 3","Deprioritise — only exceptional (20%) changes read in 3 weeks",IF($S97="Not a fit","Do not trial A/B — purchase tests cannot read in 3 weeks","Trial only if tests are scored on CTA clicks / leads, not purchases")))))</f>
        <v/>
      </c>
      <c r="U97" s="19" t="str">
        <f aca="false">IF($L97="","",$L97*Assumptions!$C$17*$K97*12/1000000)</f>
        <v/>
      </c>
    </row>
    <row r="98" customFormat="false" ht="15" hidden="false" customHeight="false" outlineLevel="0" collapsed="false">
      <c r="A98" s="14"/>
      <c r="B98" s="14"/>
      <c r="C98" s="15"/>
      <c r="D98" s="15"/>
      <c r="E98" s="16"/>
      <c r="F98" s="16"/>
      <c r="G98" s="17"/>
      <c r="H98" s="15"/>
      <c r="I98" s="14"/>
      <c r="J98" s="18" t="str">
        <f aca="false">IF($C98&lt;&gt;"","Actual orders",IF($E98&lt;&gt;"","Est. from revenue",IF($D98&lt;&gt;"","Est. from traffic × CVR","")))</f>
        <v/>
      </c>
      <c r="K98" s="19" t="n">
        <f aca="false">IF($F98&lt;&gt;"",$F98,IFERROR(INDEX(Assumptions!$D$28:$D$39,MATCH($B98,Assumptions!$B$28:$B$39,0)),Assumptions!$C$19))</f>
        <v>250</v>
      </c>
      <c r="L98" s="20" t="str">
        <f aca="false">IF($C98&lt;&gt;"",$C98/Assumptions!$C$17,IF($E98&lt;&gt;"",$E98*1000000/12/$K98/Assumptions!$C$17,IF($D98&lt;&gt;"",$D98*IF($G98&lt;&gt;"",$G98,IFERROR(INDEX(Assumptions!$C$28:$C$39,MATCH($B98,Assumptions!$B$28:$B$39,0)),Assumptions!$C$18)),"")))</f>
        <v/>
      </c>
      <c r="M98" s="20" t="str">
        <f aca="false">IF($L98="","",IF($D98&lt;&gt;"",$D98,$L98/IF($G98&lt;&gt;"",$G98,IFERROR(INDEX(Assumptions!$C$28:$C$39,MATCH($B98,Assumptions!$B$28:$B$39,0)),Assumptions!$C$18))))</f>
        <v/>
      </c>
      <c r="N98" s="21" t="str">
        <f aca="false">IF($L98="","",MIN($L98/$M98,0.95))</f>
        <v/>
      </c>
      <c r="O98" s="20" t="str">
        <f aca="false">IF($L98="","",$L98*Assumptions!$C$17*12/52)</f>
        <v/>
      </c>
      <c r="P98" s="22" t="str">
        <f aca="false">IF($L98="","",14*((2*Assumptions!$C$23*($N98*(1-$N98)+$N98*(1+Assumptions!$C$11)*(1-$N98*(1+Assumptions!$C$11)))/($N98*Assumptions!$C$11)^2/Assumptions!$C$14)/($M98*Assumptions!$C$24))^(1/Assumptions!$C$16)/7)</f>
        <v/>
      </c>
      <c r="Q98" s="22" t="str">
        <f aca="false">IF($L98="","",14*((2*Assumptions!$C$23*($N98*(1-$N98)+$N98*(1+Assumptions!$C$12)*(1-$N98*(1+Assumptions!$C$12)))/($N98*Assumptions!$C$12)^2/Assumptions!$C$14)/($M98*Assumptions!$C$24))^(1/Assumptions!$C$16)/7)</f>
        <v/>
      </c>
      <c r="R98" s="22" t="str">
        <f aca="false">IF($L98="","",14*((2*Assumptions!$C$23*($N98*(1-$N98)+$N98*(1+Assumptions!$C$13)*(1-$N98*(1+Assumptions!$C$13)))/($N98*Assumptions!$C$13)^2/Assumptions!$C$14)/($M98*Assumptions!$C$24))^(1/Assumptions!$C$16)/7)</f>
        <v/>
      </c>
      <c r="S98" s="23" t="str">
        <f aca="false">IF($L98="","",IF($P98&lt;=Assumptions!$C$9,"Tier 1",IF($P98&lt;=Assumptions!$C$10,"Tier 1 (3-wk)",IF($Q98&lt;=Assumptions!$C$10,"Tier 2",IF($R98&lt;=Assumptions!$C$10,"Tier 3",IF(AND($H98&lt;&gt;"",14*((2*Assumptions!$C$23*(MIN($H98*52/12/$M98,0.95)*(1-MIN($H98*52/12/$M98,0.95))+MIN($H98*52/12/$M98,0.95)*(1+Assumptions!$C$12)*(1-MIN($H98*52/12/$M98,0.95)*(1+Assumptions!$C$12)))/(MIN($H98*52/12/$M98,0.95)*Assumptions!$C$12)^2/Assumptions!$C$14)/($M98*Assumptions!$C$24))^(1/Assumptions!$C$16)/7&lt;=Assumptions!$C$10),"Not a fit — micro-conversion tests only","Not a fit"))))))</f>
        <v/>
      </c>
      <c r="T98" s="18" t="str">
        <f aca="false">IF($S98="","",IF(LEFT($S98,6)="Tier 1","Pursue — trial + fast programme: 5% lifts read in 2–3 weeks",IF($S98="Tier 2","Qualify — bold tests only (10%+ lifts); funnel-wide, 3-week reads",IF($S98="Tier 3","Deprioritise — only exceptional (20%) changes read in 3 weeks",IF($S98="Not a fit","Do not trial A/B — purchase tests cannot read in 3 weeks","Trial only if tests are scored on CTA clicks / leads, not purchases")))))</f>
        <v/>
      </c>
      <c r="U98" s="19" t="str">
        <f aca="false">IF($L98="","",$L98*Assumptions!$C$17*$K98*12/1000000)</f>
        <v/>
      </c>
    </row>
    <row r="99" customFormat="false" ht="15" hidden="false" customHeight="false" outlineLevel="0" collapsed="false">
      <c r="A99" s="14"/>
      <c r="B99" s="14"/>
      <c r="C99" s="15"/>
      <c r="D99" s="15"/>
      <c r="E99" s="16"/>
      <c r="F99" s="16"/>
      <c r="G99" s="17"/>
      <c r="H99" s="15"/>
      <c r="I99" s="14"/>
      <c r="J99" s="18" t="str">
        <f aca="false">IF($C99&lt;&gt;"","Actual orders",IF($E99&lt;&gt;"","Est. from revenue",IF($D99&lt;&gt;"","Est. from traffic × CVR","")))</f>
        <v/>
      </c>
      <c r="K99" s="19" t="n">
        <f aca="false">IF($F99&lt;&gt;"",$F99,IFERROR(INDEX(Assumptions!$D$28:$D$39,MATCH($B99,Assumptions!$B$28:$B$39,0)),Assumptions!$C$19))</f>
        <v>250</v>
      </c>
      <c r="L99" s="20" t="str">
        <f aca="false">IF($C99&lt;&gt;"",$C99/Assumptions!$C$17,IF($E99&lt;&gt;"",$E99*1000000/12/$K99/Assumptions!$C$17,IF($D99&lt;&gt;"",$D99*IF($G99&lt;&gt;"",$G99,IFERROR(INDEX(Assumptions!$C$28:$C$39,MATCH($B99,Assumptions!$B$28:$B$39,0)),Assumptions!$C$18)),"")))</f>
        <v/>
      </c>
      <c r="M99" s="20" t="str">
        <f aca="false">IF($L99="","",IF($D99&lt;&gt;"",$D99,$L99/IF($G99&lt;&gt;"",$G99,IFERROR(INDEX(Assumptions!$C$28:$C$39,MATCH($B99,Assumptions!$B$28:$B$39,0)),Assumptions!$C$18))))</f>
        <v/>
      </c>
      <c r="N99" s="21" t="str">
        <f aca="false">IF($L99="","",MIN($L99/$M99,0.95))</f>
        <v/>
      </c>
      <c r="O99" s="20" t="str">
        <f aca="false">IF($L99="","",$L99*Assumptions!$C$17*12/52)</f>
        <v/>
      </c>
      <c r="P99" s="22" t="str">
        <f aca="false">IF($L99="","",14*((2*Assumptions!$C$23*($N99*(1-$N99)+$N99*(1+Assumptions!$C$11)*(1-$N99*(1+Assumptions!$C$11)))/($N99*Assumptions!$C$11)^2/Assumptions!$C$14)/($M99*Assumptions!$C$24))^(1/Assumptions!$C$16)/7)</f>
        <v/>
      </c>
      <c r="Q99" s="22" t="str">
        <f aca="false">IF($L99="","",14*((2*Assumptions!$C$23*($N99*(1-$N99)+$N99*(1+Assumptions!$C$12)*(1-$N99*(1+Assumptions!$C$12)))/($N99*Assumptions!$C$12)^2/Assumptions!$C$14)/($M99*Assumptions!$C$24))^(1/Assumptions!$C$16)/7)</f>
        <v/>
      </c>
      <c r="R99" s="22" t="str">
        <f aca="false">IF($L99="","",14*((2*Assumptions!$C$23*($N99*(1-$N99)+$N99*(1+Assumptions!$C$13)*(1-$N99*(1+Assumptions!$C$13)))/($N99*Assumptions!$C$13)^2/Assumptions!$C$14)/($M99*Assumptions!$C$24))^(1/Assumptions!$C$16)/7)</f>
        <v/>
      </c>
      <c r="S99" s="23" t="str">
        <f aca="false">IF($L99="","",IF($P99&lt;=Assumptions!$C$9,"Tier 1",IF($P99&lt;=Assumptions!$C$10,"Tier 1 (3-wk)",IF($Q99&lt;=Assumptions!$C$10,"Tier 2",IF($R99&lt;=Assumptions!$C$10,"Tier 3",IF(AND($H99&lt;&gt;"",14*((2*Assumptions!$C$23*(MIN($H99*52/12/$M99,0.95)*(1-MIN($H99*52/12/$M99,0.95))+MIN($H99*52/12/$M99,0.95)*(1+Assumptions!$C$12)*(1-MIN($H99*52/12/$M99,0.95)*(1+Assumptions!$C$12)))/(MIN($H99*52/12/$M99,0.95)*Assumptions!$C$12)^2/Assumptions!$C$14)/($M99*Assumptions!$C$24))^(1/Assumptions!$C$16)/7&lt;=Assumptions!$C$10),"Not a fit — micro-conversion tests only","Not a fit"))))))</f>
        <v/>
      </c>
      <c r="T99" s="18" t="str">
        <f aca="false">IF($S99="","",IF(LEFT($S99,6)="Tier 1","Pursue — trial + fast programme: 5% lifts read in 2–3 weeks",IF($S99="Tier 2","Qualify — bold tests only (10%+ lifts); funnel-wide, 3-week reads",IF($S99="Tier 3","Deprioritise — only exceptional (20%) changes read in 3 weeks",IF($S99="Not a fit","Do not trial A/B — purchase tests cannot read in 3 weeks","Trial only if tests are scored on CTA clicks / leads, not purchases")))))</f>
        <v/>
      </c>
      <c r="U99" s="19" t="str">
        <f aca="false">IF($L99="","",$L99*Assumptions!$C$17*$K99*12/1000000)</f>
        <v/>
      </c>
    </row>
    <row r="100" customFormat="false" ht="15" hidden="false" customHeight="false" outlineLevel="0" collapsed="false">
      <c r="A100" s="14"/>
      <c r="B100" s="14"/>
      <c r="C100" s="15"/>
      <c r="D100" s="15"/>
      <c r="E100" s="16"/>
      <c r="F100" s="16"/>
      <c r="G100" s="17"/>
      <c r="H100" s="15"/>
      <c r="I100" s="14"/>
      <c r="J100" s="18" t="str">
        <f aca="false">IF($C100&lt;&gt;"","Actual orders",IF($E100&lt;&gt;"","Est. from revenue",IF($D100&lt;&gt;"","Est. from traffic × CVR","")))</f>
        <v/>
      </c>
      <c r="K100" s="19" t="n">
        <f aca="false">IF($F100&lt;&gt;"",$F100,IFERROR(INDEX(Assumptions!$D$28:$D$39,MATCH($B100,Assumptions!$B$28:$B$39,0)),Assumptions!$C$19))</f>
        <v>250</v>
      </c>
      <c r="L100" s="20" t="str">
        <f aca="false">IF($C100&lt;&gt;"",$C100/Assumptions!$C$17,IF($E100&lt;&gt;"",$E100*1000000/12/$K100/Assumptions!$C$17,IF($D100&lt;&gt;"",$D100*IF($G100&lt;&gt;"",$G100,IFERROR(INDEX(Assumptions!$C$28:$C$39,MATCH($B100,Assumptions!$B$28:$B$39,0)),Assumptions!$C$18)),"")))</f>
        <v/>
      </c>
      <c r="M100" s="20" t="str">
        <f aca="false">IF($L100="","",IF($D100&lt;&gt;"",$D100,$L100/IF($G100&lt;&gt;"",$G100,IFERROR(INDEX(Assumptions!$C$28:$C$39,MATCH($B100,Assumptions!$B$28:$B$39,0)),Assumptions!$C$18))))</f>
        <v/>
      </c>
      <c r="N100" s="21" t="str">
        <f aca="false">IF($L100="","",MIN($L100/$M100,0.95))</f>
        <v/>
      </c>
      <c r="O100" s="20" t="str">
        <f aca="false">IF($L100="","",$L100*Assumptions!$C$17*12/52)</f>
        <v/>
      </c>
      <c r="P100" s="22" t="str">
        <f aca="false">IF($L100="","",14*((2*Assumptions!$C$23*($N100*(1-$N100)+$N100*(1+Assumptions!$C$11)*(1-$N100*(1+Assumptions!$C$11)))/($N100*Assumptions!$C$11)^2/Assumptions!$C$14)/($M100*Assumptions!$C$24))^(1/Assumptions!$C$16)/7)</f>
        <v/>
      </c>
      <c r="Q100" s="22" t="str">
        <f aca="false">IF($L100="","",14*((2*Assumptions!$C$23*($N100*(1-$N100)+$N100*(1+Assumptions!$C$12)*(1-$N100*(1+Assumptions!$C$12)))/($N100*Assumptions!$C$12)^2/Assumptions!$C$14)/($M100*Assumptions!$C$24))^(1/Assumptions!$C$16)/7)</f>
        <v/>
      </c>
      <c r="R100" s="22" t="str">
        <f aca="false">IF($L100="","",14*((2*Assumptions!$C$23*($N100*(1-$N100)+$N100*(1+Assumptions!$C$13)*(1-$N100*(1+Assumptions!$C$13)))/($N100*Assumptions!$C$13)^2/Assumptions!$C$14)/($M100*Assumptions!$C$24))^(1/Assumptions!$C$16)/7)</f>
        <v/>
      </c>
      <c r="S100" s="23" t="str">
        <f aca="false">IF($L100="","",IF($P100&lt;=Assumptions!$C$9,"Tier 1",IF($P100&lt;=Assumptions!$C$10,"Tier 1 (3-wk)",IF($Q100&lt;=Assumptions!$C$10,"Tier 2",IF($R100&lt;=Assumptions!$C$10,"Tier 3",IF(AND($H100&lt;&gt;"",14*((2*Assumptions!$C$23*(MIN($H100*52/12/$M100,0.95)*(1-MIN($H100*52/12/$M100,0.95))+MIN($H100*52/12/$M100,0.95)*(1+Assumptions!$C$12)*(1-MIN($H100*52/12/$M100,0.95)*(1+Assumptions!$C$12)))/(MIN($H100*52/12/$M100,0.95)*Assumptions!$C$12)^2/Assumptions!$C$14)/($M100*Assumptions!$C$24))^(1/Assumptions!$C$16)/7&lt;=Assumptions!$C$10),"Not a fit — micro-conversion tests only","Not a fit"))))))</f>
        <v/>
      </c>
      <c r="T100" s="18" t="str">
        <f aca="false">IF($S100="","",IF(LEFT($S100,6)="Tier 1","Pursue — trial + fast programme: 5% lifts read in 2–3 weeks",IF($S100="Tier 2","Qualify — bold tests only (10%+ lifts); funnel-wide, 3-week reads",IF($S100="Tier 3","Deprioritise — only exceptional (20%) changes read in 3 weeks",IF($S100="Not a fit","Do not trial A/B — purchase tests cannot read in 3 weeks","Trial only if tests are scored on CTA clicks / leads, not purchases")))))</f>
        <v/>
      </c>
      <c r="U100" s="19" t="str">
        <f aca="false">IF($L100="","",$L100*Assumptions!$C$17*$K100*12/1000000)</f>
        <v/>
      </c>
    </row>
    <row r="101" customFormat="false" ht="15" hidden="false" customHeight="false" outlineLevel="0" collapsed="false">
      <c r="A101" s="14"/>
      <c r="B101" s="14"/>
      <c r="C101" s="15"/>
      <c r="D101" s="15"/>
      <c r="E101" s="16"/>
      <c r="F101" s="16"/>
      <c r="G101" s="17"/>
      <c r="H101" s="15"/>
      <c r="I101" s="14"/>
      <c r="J101" s="18" t="str">
        <f aca="false">IF($C101&lt;&gt;"","Actual orders",IF($E101&lt;&gt;"","Est. from revenue",IF($D101&lt;&gt;"","Est. from traffic × CVR","")))</f>
        <v/>
      </c>
      <c r="K101" s="19" t="n">
        <f aca="false">IF($F101&lt;&gt;"",$F101,IFERROR(INDEX(Assumptions!$D$28:$D$39,MATCH($B101,Assumptions!$B$28:$B$39,0)),Assumptions!$C$19))</f>
        <v>250</v>
      </c>
      <c r="L101" s="20" t="str">
        <f aca="false">IF($C101&lt;&gt;"",$C101/Assumptions!$C$17,IF($E101&lt;&gt;"",$E101*1000000/12/$K101/Assumptions!$C$17,IF($D101&lt;&gt;"",$D101*IF($G101&lt;&gt;"",$G101,IFERROR(INDEX(Assumptions!$C$28:$C$39,MATCH($B101,Assumptions!$B$28:$B$39,0)),Assumptions!$C$18)),"")))</f>
        <v/>
      </c>
      <c r="M101" s="20" t="str">
        <f aca="false">IF($L101="","",IF($D101&lt;&gt;"",$D101,$L101/IF($G101&lt;&gt;"",$G101,IFERROR(INDEX(Assumptions!$C$28:$C$39,MATCH($B101,Assumptions!$B$28:$B$39,0)),Assumptions!$C$18))))</f>
        <v/>
      </c>
      <c r="N101" s="21" t="str">
        <f aca="false">IF($L101="","",MIN($L101/$M101,0.95))</f>
        <v/>
      </c>
      <c r="O101" s="20" t="str">
        <f aca="false">IF($L101="","",$L101*Assumptions!$C$17*12/52)</f>
        <v/>
      </c>
      <c r="P101" s="22" t="str">
        <f aca="false">IF($L101="","",14*((2*Assumptions!$C$23*($N101*(1-$N101)+$N101*(1+Assumptions!$C$11)*(1-$N101*(1+Assumptions!$C$11)))/($N101*Assumptions!$C$11)^2/Assumptions!$C$14)/($M101*Assumptions!$C$24))^(1/Assumptions!$C$16)/7)</f>
        <v/>
      </c>
      <c r="Q101" s="22" t="str">
        <f aca="false">IF($L101="","",14*((2*Assumptions!$C$23*($N101*(1-$N101)+$N101*(1+Assumptions!$C$12)*(1-$N101*(1+Assumptions!$C$12)))/($N101*Assumptions!$C$12)^2/Assumptions!$C$14)/($M101*Assumptions!$C$24))^(1/Assumptions!$C$16)/7)</f>
        <v/>
      </c>
      <c r="R101" s="22" t="str">
        <f aca="false">IF($L101="","",14*((2*Assumptions!$C$23*($N101*(1-$N101)+$N101*(1+Assumptions!$C$13)*(1-$N101*(1+Assumptions!$C$13)))/($N101*Assumptions!$C$13)^2/Assumptions!$C$14)/($M101*Assumptions!$C$24))^(1/Assumptions!$C$16)/7)</f>
        <v/>
      </c>
      <c r="S101" s="23" t="str">
        <f aca="false">IF($L101="","",IF($P101&lt;=Assumptions!$C$9,"Tier 1",IF($P101&lt;=Assumptions!$C$10,"Tier 1 (3-wk)",IF($Q101&lt;=Assumptions!$C$10,"Tier 2",IF($R101&lt;=Assumptions!$C$10,"Tier 3",IF(AND($H101&lt;&gt;"",14*((2*Assumptions!$C$23*(MIN($H101*52/12/$M101,0.95)*(1-MIN($H101*52/12/$M101,0.95))+MIN($H101*52/12/$M101,0.95)*(1+Assumptions!$C$12)*(1-MIN($H101*52/12/$M101,0.95)*(1+Assumptions!$C$12)))/(MIN($H101*52/12/$M101,0.95)*Assumptions!$C$12)^2/Assumptions!$C$14)/($M101*Assumptions!$C$24))^(1/Assumptions!$C$16)/7&lt;=Assumptions!$C$10),"Not a fit — micro-conversion tests only","Not a fit"))))))</f>
        <v/>
      </c>
      <c r="T101" s="18" t="str">
        <f aca="false">IF($S101="","",IF(LEFT($S101,6)="Tier 1","Pursue — trial + fast programme: 5% lifts read in 2–3 weeks",IF($S101="Tier 2","Qualify — bold tests only (10%+ lifts); funnel-wide, 3-week reads",IF($S101="Tier 3","Deprioritise — only exceptional (20%) changes read in 3 weeks",IF($S101="Not a fit","Do not trial A/B — purchase tests cannot read in 3 weeks","Trial only if tests are scored on CTA clicks / leads, not purchases")))))</f>
        <v/>
      </c>
      <c r="U101" s="19" t="str">
        <f aca="false">IF($L101="","",$L101*Assumptions!$C$17*$K101*12/1000000)</f>
        <v/>
      </c>
    </row>
    <row r="102" customFormat="false" ht="15" hidden="false" customHeight="false" outlineLevel="0" collapsed="false">
      <c r="A102" s="14"/>
      <c r="B102" s="14"/>
      <c r="C102" s="15"/>
      <c r="D102" s="15"/>
      <c r="E102" s="16"/>
      <c r="F102" s="16"/>
      <c r="G102" s="17"/>
      <c r="H102" s="15"/>
      <c r="I102" s="14"/>
      <c r="J102" s="18" t="str">
        <f aca="false">IF($C102&lt;&gt;"","Actual orders",IF($E102&lt;&gt;"","Est. from revenue",IF($D102&lt;&gt;"","Est. from traffic × CVR","")))</f>
        <v/>
      </c>
      <c r="K102" s="19" t="n">
        <f aca="false">IF($F102&lt;&gt;"",$F102,IFERROR(INDEX(Assumptions!$D$28:$D$39,MATCH($B102,Assumptions!$B$28:$B$39,0)),Assumptions!$C$19))</f>
        <v>250</v>
      </c>
      <c r="L102" s="20" t="str">
        <f aca="false">IF($C102&lt;&gt;"",$C102/Assumptions!$C$17,IF($E102&lt;&gt;"",$E102*1000000/12/$K102/Assumptions!$C$17,IF($D102&lt;&gt;"",$D102*IF($G102&lt;&gt;"",$G102,IFERROR(INDEX(Assumptions!$C$28:$C$39,MATCH($B102,Assumptions!$B$28:$B$39,0)),Assumptions!$C$18)),"")))</f>
        <v/>
      </c>
      <c r="M102" s="20" t="str">
        <f aca="false">IF($L102="","",IF($D102&lt;&gt;"",$D102,$L102/IF($G102&lt;&gt;"",$G102,IFERROR(INDEX(Assumptions!$C$28:$C$39,MATCH($B102,Assumptions!$B$28:$B$39,0)),Assumptions!$C$18))))</f>
        <v/>
      </c>
      <c r="N102" s="21" t="str">
        <f aca="false">IF($L102="","",MIN($L102/$M102,0.95))</f>
        <v/>
      </c>
      <c r="O102" s="20" t="str">
        <f aca="false">IF($L102="","",$L102*Assumptions!$C$17*12/52)</f>
        <v/>
      </c>
      <c r="P102" s="22" t="str">
        <f aca="false">IF($L102="","",14*((2*Assumptions!$C$23*($N102*(1-$N102)+$N102*(1+Assumptions!$C$11)*(1-$N102*(1+Assumptions!$C$11)))/($N102*Assumptions!$C$11)^2/Assumptions!$C$14)/($M102*Assumptions!$C$24))^(1/Assumptions!$C$16)/7)</f>
        <v/>
      </c>
      <c r="Q102" s="22" t="str">
        <f aca="false">IF($L102="","",14*((2*Assumptions!$C$23*($N102*(1-$N102)+$N102*(1+Assumptions!$C$12)*(1-$N102*(1+Assumptions!$C$12)))/($N102*Assumptions!$C$12)^2/Assumptions!$C$14)/($M102*Assumptions!$C$24))^(1/Assumptions!$C$16)/7)</f>
        <v/>
      </c>
      <c r="R102" s="22" t="str">
        <f aca="false">IF($L102="","",14*((2*Assumptions!$C$23*($N102*(1-$N102)+$N102*(1+Assumptions!$C$13)*(1-$N102*(1+Assumptions!$C$13)))/($N102*Assumptions!$C$13)^2/Assumptions!$C$14)/($M102*Assumptions!$C$24))^(1/Assumptions!$C$16)/7)</f>
        <v/>
      </c>
      <c r="S102" s="23" t="str">
        <f aca="false">IF($L102="","",IF($P102&lt;=Assumptions!$C$9,"Tier 1",IF($P102&lt;=Assumptions!$C$10,"Tier 1 (3-wk)",IF($Q102&lt;=Assumptions!$C$10,"Tier 2",IF($R102&lt;=Assumptions!$C$10,"Tier 3",IF(AND($H102&lt;&gt;"",14*((2*Assumptions!$C$23*(MIN($H102*52/12/$M102,0.95)*(1-MIN($H102*52/12/$M102,0.95))+MIN($H102*52/12/$M102,0.95)*(1+Assumptions!$C$12)*(1-MIN($H102*52/12/$M102,0.95)*(1+Assumptions!$C$12)))/(MIN($H102*52/12/$M102,0.95)*Assumptions!$C$12)^2/Assumptions!$C$14)/($M102*Assumptions!$C$24))^(1/Assumptions!$C$16)/7&lt;=Assumptions!$C$10),"Not a fit — micro-conversion tests only","Not a fit"))))))</f>
        <v/>
      </c>
      <c r="T102" s="18" t="str">
        <f aca="false">IF($S102="","",IF(LEFT($S102,6)="Tier 1","Pursue — trial + fast programme: 5% lifts read in 2–3 weeks",IF($S102="Tier 2","Qualify — bold tests only (10%+ lifts); funnel-wide, 3-week reads",IF($S102="Tier 3","Deprioritise — only exceptional (20%) changes read in 3 weeks",IF($S102="Not a fit","Do not trial A/B — purchase tests cannot read in 3 weeks","Trial only if tests are scored on CTA clicks / leads, not purchases")))))</f>
        <v/>
      </c>
      <c r="U102" s="19" t="str">
        <f aca="false">IF($L102="","",$L102*Assumptions!$C$17*$K102*12/1000000)</f>
        <v/>
      </c>
    </row>
    <row r="103" customFormat="false" ht="15" hidden="false" customHeight="false" outlineLevel="0" collapsed="false">
      <c r="A103" s="14"/>
      <c r="B103" s="14"/>
      <c r="C103" s="15"/>
      <c r="D103" s="15"/>
      <c r="E103" s="16"/>
      <c r="F103" s="16"/>
      <c r="G103" s="17"/>
      <c r="H103" s="15"/>
      <c r="I103" s="14"/>
      <c r="J103" s="18" t="str">
        <f aca="false">IF($C103&lt;&gt;"","Actual orders",IF($E103&lt;&gt;"","Est. from revenue",IF($D103&lt;&gt;"","Est. from traffic × CVR","")))</f>
        <v/>
      </c>
      <c r="K103" s="19" t="n">
        <f aca="false">IF($F103&lt;&gt;"",$F103,IFERROR(INDEX(Assumptions!$D$28:$D$39,MATCH($B103,Assumptions!$B$28:$B$39,0)),Assumptions!$C$19))</f>
        <v>250</v>
      </c>
      <c r="L103" s="20" t="str">
        <f aca="false">IF($C103&lt;&gt;"",$C103/Assumptions!$C$17,IF($E103&lt;&gt;"",$E103*1000000/12/$K103/Assumptions!$C$17,IF($D103&lt;&gt;"",$D103*IF($G103&lt;&gt;"",$G103,IFERROR(INDEX(Assumptions!$C$28:$C$39,MATCH($B103,Assumptions!$B$28:$B$39,0)),Assumptions!$C$18)),"")))</f>
        <v/>
      </c>
      <c r="M103" s="20" t="str">
        <f aca="false">IF($L103="","",IF($D103&lt;&gt;"",$D103,$L103/IF($G103&lt;&gt;"",$G103,IFERROR(INDEX(Assumptions!$C$28:$C$39,MATCH($B103,Assumptions!$B$28:$B$39,0)),Assumptions!$C$18))))</f>
        <v/>
      </c>
      <c r="N103" s="21" t="str">
        <f aca="false">IF($L103="","",MIN($L103/$M103,0.95))</f>
        <v/>
      </c>
      <c r="O103" s="20" t="str">
        <f aca="false">IF($L103="","",$L103*Assumptions!$C$17*12/52)</f>
        <v/>
      </c>
      <c r="P103" s="22" t="str">
        <f aca="false">IF($L103="","",14*((2*Assumptions!$C$23*($N103*(1-$N103)+$N103*(1+Assumptions!$C$11)*(1-$N103*(1+Assumptions!$C$11)))/($N103*Assumptions!$C$11)^2/Assumptions!$C$14)/($M103*Assumptions!$C$24))^(1/Assumptions!$C$16)/7)</f>
        <v/>
      </c>
      <c r="Q103" s="22" t="str">
        <f aca="false">IF($L103="","",14*((2*Assumptions!$C$23*($N103*(1-$N103)+$N103*(1+Assumptions!$C$12)*(1-$N103*(1+Assumptions!$C$12)))/($N103*Assumptions!$C$12)^2/Assumptions!$C$14)/($M103*Assumptions!$C$24))^(1/Assumptions!$C$16)/7)</f>
        <v/>
      </c>
      <c r="R103" s="22" t="str">
        <f aca="false">IF($L103="","",14*((2*Assumptions!$C$23*($N103*(1-$N103)+$N103*(1+Assumptions!$C$13)*(1-$N103*(1+Assumptions!$C$13)))/($N103*Assumptions!$C$13)^2/Assumptions!$C$14)/($M103*Assumptions!$C$24))^(1/Assumptions!$C$16)/7)</f>
        <v/>
      </c>
      <c r="S103" s="23" t="str">
        <f aca="false">IF($L103="","",IF($P103&lt;=Assumptions!$C$9,"Tier 1",IF($P103&lt;=Assumptions!$C$10,"Tier 1 (3-wk)",IF($Q103&lt;=Assumptions!$C$10,"Tier 2",IF($R103&lt;=Assumptions!$C$10,"Tier 3",IF(AND($H103&lt;&gt;"",14*((2*Assumptions!$C$23*(MIN($H103*52/12/$M103,0.95)*(1-MIN($H103*52/12/$M103,0.95))+MIN($H103*52/12/$M103,0.95)*(1+Assumptions!$C$12)*(1-MIN($H103*52/12/$M103,0.95)*(1+Assumptions!$C$12)))/(MIN($H103*52/12/$M103,0.95)*Assumptions!$C$12)^2/Assumptions!$C$14)/($M103*Assumptions!$C$24))^(1/Assumptions!$C$16)/7&lt;=Assumptions!$C$10),"Not a fit — micro-conversion tests only","Not a fit"))))))</f>
        <v/>
      </c>
      <c r="T103" s="18" t="str">
        <f aca="false">IF($S103="","",IF(LEFT($S103,6)="Tier 1","Pursue — trial + fast programme: 5% lifts read in 2–3 weeks",IF($S103="Tier 2","Qualify — bold tests only (10%+ lifts); funnel-wide, 3-week reads",IF($S103="Tier 3","Deprioritise — only exceptional (20%) changes read in 3 weeks",IF($S103="Not a fit","Do not trial A/B — purchase tests cannot read in 3 weeks","Trial only if tests are scored on CTA clicks / leads, not purchases")))))</f>
        <v/>
      </c>
      <c r="U103" s="19" t="str">
        <f aca="false">IF($L103="","",$L103*Assumptions!$C$17*$K103*12/1000000)</f>
        <v/>
      </c>
    </row>
    <row r="104" customFormat="false" ht="15" hidden="false" customHeight="false" outlineLevel="0" collapsed="false">
      <c r="A104" s="14"/>
      <c r="B104" s="14"/>
      <c r="C104" s="15"/>
      <c r="D104" s="15"/>
      <c r="E104" s="16"/>
      <c r="F104" s="16"/>
      <c r="G104" s="17"/>
      <c r="H104" s="15"/>
      <c r="I104" s="14"/>
      <c r="J104" s="18" t="str">
        <f aca="false">IF($C104&lt;&gt;"","Actual orders",IF($E104&lt;&gt;"","Est. from revenue",IF($D104&lt;&gt;"","Est. from traffic × CVR","")))</f>
        <v/>
      </c>
      <c r="K104" s="19" t="n">
        <f aca="false">IF($F104&lt;&gt;"",$F104,IFERROR(INDEX(Assumptions!$D$28:$D$39,MATCH($B104,Assumptions!$B$28:$B$39,0)),Assumptions!$C$19))</f>
        <v>250</v>
      </c>
      <c r="L104" s="20" t="str">
        <f aca="false">IF($C104&lt;&gt;"",$C104/Assumptions!$C$17,IF($E104&lt;&gt;"",$E104*1000000/12/$K104/Assumptions!$C$17,IF($D104&lt;&gt;"",$D104*IF($G104&lt;&gt;"",$G104,IFERROR(INDEX(Assumptions!$C$28:$C$39,MATCH($B104,Assumptions!$B$28:$B$39,0)),Assumptions!$C$18)),"")))</f>
        <v/>
      </c>
      <c r="M104" s="20" t="str">
        <f aca="false">IF($L104="","",IF($D104&lt;&gt;"",$D104,$L104/IF($G104&lt;&gt;"",$G104,IFERROR(INDEX(Assumptions!$C$28:$C$39,MATCH($B104,Assumptions!$B$28:$B$39,0)),Assumptions!$C$18))))</f>
        <v/>
      </c>
      <c r="N104" s="21" t="str">
        <f aca="false">IF($L104="","",MIN($L104/$M104,0.95))</f>
        <v/>
      </c>
      <c r="O104" s="20" t="str">
        <f aca="false">IF($L104="","",$L104*Assumptions!$C$17*12/52)</f>
        <v/>
      </c>
      <c r="P104" s="22" t="str">
        <f aca="false">IF($L104="","",14*((2*Assumptions!$C$23*($N104*(1-$N104)+$N104*(1+Assumptions!$C$11)*(1-$N104*(1+Assumptions!$C$11)))/($N104*Assumptions!$C$11)^2/Assumptions!$C$14)/($M104*Assumptions!$C$24))^(1/Assumptions!$C$16)/7)</f>
        <v/>
      </c>
      <c r="Q104" s="22" t="str">
        <f aca="false">IF($L104="","",14*((2*Assumptions!$C$23*($N104*(1-$N104)+$N104*(1+Assumptions!$C$12)*(1-$N104*(1+Assumptions!$C$12)))/($N104*Assumptions!$C$12)^2/Assumptions!$C$14)/($M104*Assumptions!$C$24))^(1/Assumptions!$C$16)/7)</f>
        <v/>
      </c>
      <c r="R104" s="22" t="str">
        <f aca="false">IF($L104="","",14*((2*Assumptions!$C$23*($N104*(1-$N104)+$N104*(1+Assumptions!$C$13)*(1-$N104*(1+Assumptions!$C$13)))/($N104*Assumptions!$C$13)^2/Assumptions!$C$14)/($M104*Assumptions!$C$24))^(1/Assumptions!$C$16)/7)</f>
        <v/>
      </c>
      <c r="S104" s="23" t="str">
        <f aca="false">IF($L104="","",IF($P104&lt;=Assumptions!$C$9,"Tier 1",IF($P104&lt;=Assumptions!$C$10,"Tier 1 (3-wk)",IF($Q104&lt;=Assumptions!$C$10,"Tier 2",IF($R104&lt;=Assumptions!$C$10,"Tier 3",IF(AND($H104&lt;&gt;"",14*((2*Assumptions!$C$23*(MIN($H104*52/12/$M104,0.95)*(1-MIN($H104*52/12/$M104,0.95))+MIN($H104*52/12/$M104,0.95)*(1+Assumptions!$C$12)*(1-MIN($H104*52/12/$M104,0.95)*(1+Assumptions!$C$12)))/(MIN($H104*52/12/$M104,0.95)*Assumptions!$C$12)^2/Assumptions!$C$14)/($M104*Assumptions!$C$24))^(1/Assumptions!$C$16)/7&lt;=Assumptions!$C$10),"Not a fit — micro-conversion tests only","Not a fit"))))))</f>
        <v/>
      </c>
      <c r="T104" s="18" t="str">
        <f aca="false">IF($S104="","",IF(LEFT($S104,6)="Tier 1","Pursue — trial + fast programme: 5% lifts read in 2–3 weeks",IF($S104="Tier 2","Qualify — bold tests only (10%+ lifts); funnel-wide, 3-week reads",IF($S104="Tier 3","Deprioritise — only exceptional (20%) changes read in 3 weeks",IF($S104="Not a fit","Do not trial A/B — purchase tests cannot read in 3 weeks","Trial only if tests are scored on CTA clicks / leads, not purchases")))))</f>
        <v/>
      </c>
      <c r="U104" s="19" t="str">
        <f aca="false">IF($L104="","",$L104*Assumptions!$C$17*$K104*12/1000000)</f>
        <v/>
      </c>
    </row>
    <row r="105" customFormat="false" ht="15" hidden="false" customHeight="false" outlineLevel="0" collapsed="false">
      <c r="A105" s="14"/>
      <c r="B105" s="14"/>
      <c r="C105" s="15"/>
      <c r="D105" s="15"/>
      <c r="E105" s="16"/>
      <c r="F105" s="16"/>
      <c r="G105" s="17"/>
      <c r="H105" s="15"/>
      <c r="I105" s="14"/>
      <c r="J105" s="18" t="str">
        <f aca="false">IF($C105&lt;&gt;"","Actual orders",IF($E105&lt;&gt;"","Est. from revenue",IF($D105&lt;&gt;"","Est. from traffic × CVR","")))</f>
        <v/>
      </c>
      <c r="K105" s="19" t="n">
        <f aca="false">IF($F105&lt;&gt;"",$F105,IFERROR(INDEX(Assumptions!$D$28:$D$39,MATCH($B105,Assumptions!$B$28:$B$39,0)),Assumptions!$C$19))</f>
        <v>250</v>
      </c>
      <c r="L105" s="20" t="str">
        <f aca="false">IF($C105&lt;&gt;"",$C105/Assumptions!$C$17,IF($E105&lt;&gt;"",$E105*1000000/12/$K105/Assumptions!$C$17,IF($D105&lt;&gt;"",$D105*IF($G105&lt;&gt;"",$G105,IFERROR(INDEX(Assumptions!$C$28:$C$39,MATCH($B105,Assumptions!$B$28:$B$39,0)),Assumptions!$C$18)),"")))</f>
        <v/>
      </c>
      <c r="M105" s="20" t="str">
        <f aca="false">IF($L105="","",IF($D105&lt;&gt;"",$D105,$L105/IF($G105&lt;&gt;"",$G105,IFERROR(INDEX(Assumptions!$C$28:$C$39,MATCH($B105,Assumptions!$B$28:$B$39,0)),Assumptions!$C$18))))</f>
        <v/>
      </c>
      <c r="N105" s="21" t="str">
        <f aca="false">IF($L105="","",MIN($L105/$M105,0.95))</f>
        <v/>
      </c>
      <c r="O105" s="20" t="str">
        <f aca="false">IF($L105="","",$L105*Assumptions!$C$17*12/52)</f>
        <v/>
      </c>
      <c r="P105" s="22" t="str">
        <f aca="false">IF($L105="","",14*((2*Assumptions!$C$23*($N105*(1-$N105)+$N105*(1+Assumptions!$C$11)*(1-$N105*(1+Assumptions!$C$11)))/($N105*Assumptions!$C$11)^2/Assumptions!$C$14)/($M105*Assumptions!$C$24))^(1/Assumptions!$C$16)/7)</f>
        <v/>
      </c>
      <c r="Q105" s="22" t="str">
        <f aca="false">IF($L105="","",14*((2*Assumptions!$C$23*($N105*(1-$N105)+$N105*(1+Assumptions!$C$12)*(1-$N105*(1+Assumptions!$C$12)))/($N105*Assumptions!$C$12)^2/Assumptions!$C$14)/($M105*Assumptions!$C$24))^(1/Assumptions!$C$16)/7)</f>
        <v/>
      </c>
      <c r="R105" s="22" t="str">
        <f aca="false">IF($L105="","",14*((2*Assumptions!$C$23*($N105*(1-$N105)+$N105*(1+Assumptions!$C$13)*(1-$N105*(1+Assumptions!$C$13)))/($N105*Assumptions!$C$13)^2/Assumptions!$C$14)/($M105*Assumptions!$C$24))^(1/Assumptions!$C$16)/7)</f>
        <v/>
      </c>
      <c r="S105" s="23" t="str">
        <f aca="false">IF($L105="","",IF($P105&lt;=Assumptions!$C$9,"Tier 1",IF($P105&lt;=Assumptions!$C$10,"Tier 1 (3-wk)",IF($Q105&lt;=Assumptions!$C$10,"Tier 2",IF($R105&lt;=Assumptions!$C$10,"Tier 3",IF(AND($H105&lt;&gt;"",14*((2*Assumptions!$C$23*(MIN($H105*52/12/$M105,0.95)*(1-MIN($H105*52/12/$M105,0.95))+MIN($H105*52/12/$M105,0.95)*(1+Assumptions!$C$12)*(1-MIN($H105*52/12/$M105,0.95)*(1+Assumptions!$C$12)))/(MIN($H105*52/12/$M105,0.95)*Assumptions!$C$12)^2/Assumptions!$C$14)/($M105*Assumptions!$C$24))^(1/Assumptions!$C$16)/7&lt;=Assumptions!$C$10),"Not a fit — micro-conversion tests only","Not a fit"))))))</f>
        <v/>
      </c>
      <c r="T105" s="18" t="str">
        <f aca="false">IF($S105="","",IF(LEFT($S105,6)="Tier 1","Pursue — trial + fast programme: 5% lifts read in 2–3 weeks",IF($S105="Tier 2","Qualify — bold tests only (10%+ lifts); funnel-wide, 3-week reads",IF($S105="Tier 3","Deprioritise — only exceptional (20%) changes read in 3 weeks",IF($S105="Not a fit","Do not trial A/B — purchase tests cannot read in 3 weeks","Trial only if tests are scored on CTA clicks / leads, not purchases")))))</f>
        <v/>
      </c>
      <c r="U105" s="19" t="str">
        <f aca="false">IF($L105="","",$L105*Assumptions!$C$17*$K105*12/1000000)</f>
        <v/>
      </c>
    </row>
    <row r="106" customFormat="false" ht="15" hidden="false" customHeight="false" outlineLevel="0" collapsed="false">
      <c r="A106" s="14"/>
      <c r="B106" s="14"/>
      <c r="C106" s="15"/>
      <c r="D106" s="15"/>
      <c r="E106" s="16"/>
      <c r="F106" s="16"/>
      <c r="G106" s="17"/>
      <c r="H106" s="15"/>
      <c r="I106" s="14"/>
      <c r="J106" s="18" t="str">
        <f aca="false">IF($C106&lt;&gt;"","Actual orders",IF($E106&lt;&gt;"","Est. from revenue",IF($D106&lt;&gt;"","Est. from traffic × CVR","")))</f>
        <v/>
      </c>
      <c r="K106" s="19" t="n">
        <f aca="false">IF($F106&lt;&gt;"",$F106,IFERROR(INDEX(Assumptions!$D$28:$D$39,MATCH($B106,Assumptions!$B$28:$B$39,0)),Assumptions!$C$19))</f>
        <v>250</v>
      </c>
      <c r="L106" s="20" t="str">
        <f aca="false">IF($C106&lt;&gt;"",$C106/Assumptions!$C$17,IF($E106&lt;&gt;"",$E106*1000000/12/$K106/Assumptions!$C$17,IF($D106&lt;&gt;"",$D106*IF($G106&lt;&gt;"",$G106,IFERROR(INDEX(Assumptions!$C$28:$C$39,MATCH($B106,Assumptions!$B$28:$B$39,0)),Assumptions!$C$18)),"")))</f>
        <v/>
      </c>
      <c r="M106" s="20" t="str">
        <f aca="false">IF($L106="","",IF($D106&lt;&gt;"",$D106,$L106/IF($G106&lt;&gt;"",$G106,IFERROR(INDEX(Assumptions!$C$28:$C$39,MATCH($B106,Assumptions!$B$28:$B$39,0)),Assumptions!$C$18))))</f>
        <v/>
      </c>
      <c r="N106" s="21" t="str">
        <f aca="false">IF($L106="","",MIN($L106/$M106,0.95))</f>
        <v/>
      </c>
      <c r="O106" s="20" t="str">
        <f aca="false">IF($L106="","",$L106*Assumptions!$C$17*12/52)</f>
        <v/>
      </c>
      <c r="P106" s="22" t="str">
        <f aca="false">IF($L106="","",14*((2*Assumptions!$C$23*($N106*(1-$N106)+$N106*(1+Assumptions!$C$11)*(1-$N106*(1+Assumptions!$C$11)))/($N106*Assumptions!$C$11)^2/Assumptions!$C$14)/($M106*Assumptions!$C$24))^(1/Assumptions!$C$16)/7)</f>
        <v/>
      </c>
      <c r="Q106" s="22" t="str">
        <f aca="false">IF($L106="","",14*((2*Assumptions!$C$23*($N106*(1-$N106)+$N106*(1+Assumptions!$C$12)*(1-$N106*(1+Assumptions!$C$12)))/($N106*Assumptions!$C$12)^2/Assumptions!$C$14)/($M106*Assumptions!$C$24))^(1/Assumptions!$C$16)/7)</f>
        <v/>
      </c>
      <c r="R106" s="22" t="str">
        <f aca="false">IF($L106="","",14*((2*Assumptions!$C$23*($N106*(1-$N106)+$N106*(1+Assumptions!$C$13)*(1-$N106*(1+Assumptions!$C$13)))/($N106*Assumptions!$C$13)^2/Assumptions!$C$14)/($M106*Assumptions!$C$24))^(1/Assumptions!$C$16)/7)</f>
        <v/>
      </c>
      <c r="S106" s="23" t="str">
        <f aca="false">IF($L106="","",IF($P106&lt;=Assumptions!$C$9,"Tier 1",IF($P106&lt;=Assumptions!$C$10,"Tier 1 (3-wk)",IF($Q106&lt;=Assumptions!$C$10,"Tier 2",IF($R106&lt;=Assumptions!$C$10,"Tier 3",IF(AND($H106&lt;&gt;"",14*((2*Assumptions!$C$23*(MIN($H106*52/12/$M106,0.95)*(1-MIN($H106*52/12/$M106,0.95))+MIN($H106*52/12/$M106,0.95)*(1+Assumptions!$C$12)*(1-MIN($H106*52/12/$M106,0.95)*(1+Assumptions!$C$12)))/(MIN($H106*52/12/$M106,0.95)*Assumptions!$C$12)^2/Assumptions!$C$14)/($M106*Assumptions!$C$24))^(1/Assumptions!$C$16)/7&lt;=Assumptions!$C$10),"Not a fit — micro-conversion tests only","Not a fit"))))))</f>
        <v/>
      </c>
      <c r="T106" s="18" t="str">
        <f aca="false">IF($S106="","",IF(LEFT($S106,6)="Tier 1","Pursue — trial + fast programme: 5% lifts read in 2–3 weeks",IF($S106="Tier 2","Qualify — bold tests only (10%+ lifts); funnel-wide, 3-week reads",IF($S106="Tier 3","Deprioritise — only exceptional (20%) changes read in 3 weeks",IF($S106="Not a fit","Do not trial A/B — purchase tests cannot read in 3 weeks","Trial only if tests are scored on CTA clicks / leads, not purchases")))))</f>
        <v/>
      </c>
      <c r="U106" s="19" t="str">
        <f aca="false">IF($L106="","",$L106*Assumptions!$C$17*$K106*12/1000000)</f>
        <v/>
      </c>
    </row>
    <row r="107" customFormat="false" ht="15" hidden="false" customHeight="false" outlineLevel="0" collapsed="false">
      <c r="A107" s="14"/>
      <c r="B107" s="14"/>
      <c r="C107" s="15"/>
      <c r="D107" s="15"/>
      <c r="E107" s="16"/>
      <c r="F107" s="16"/>
      <c r="G107" s="17"/>
      <c r="H107" s="15"/>
      <c r="I107" s="14"/>
      <c r="J107" s="18" t="str">
        <f aca="false">IF($C107&lt;&gt;"","Actual orders",IF($E107&lt;&gt;"","Est. from revenue",IF($D107&lt;&gt;"","Est. from traffic × CVR","")))</f>
        <v/>
      </c>
      <c r="K107" s="19" t="n">
        <f aca="false">IF($F107&lt;&gt;"",$F107,IFERROR(INDEX(Assumptions!$D$28:$D$39,MATCH($B107,Assumptions!$B$28:$B$39,0)),Assumptions!$C$19))</f>
        <v>250</v>
      </c>
      <c r="L107" s="20" t="str">
        <f aca="false">IF($C107&lt;&gt;"",$C107/Assumptions!$C$17,IF($E107&lt;&gt;"",$E107*1000000/12/$K107/Assumptions!$C$17,IF($D107&lt;&gt;"",$D107*IF($G107&lt;&gt;"",$G107,IFERROR(INDEX(Assumptions!$C$28:$C$39,MATCH($B107,Assumptions!$B$28:$B$39,0)),Assumptions!$C$18)),"")))</f>
        <v/>
      </c>
      <c r="M107" s="20" t="str">
        <f aca="false">IF($L107="","",IF($D107&lt;&gt;"",$D107,$L107/IF($G107&lt;&gt;"",$G107,IFERROR(INDEX(Assumptions!$C$28:$C$39,MATCH($B107,Assumptions!$B$28:$B$39,0)),Assumptions!$C$18))))</f>
        <v/>
      </c>
      <c r="N107" s="21" t="str">
        <f aca="false">IF($L107="","",MIN($L107/$M107,0.95))</f>
        <v/>
      </c>
      <c r="O107" s="20" t="str">
        <f aca="false">IF($L107="","",$L107*Assumptions!$C$17*12/52)</f>
        <v/>
      </c>
      <c r="P107" s="22" t="str">
        <f aca="false">IF($L107="","",14*((2*Assumptions!$C$23*($N107*(1-$N107)+$N107*(1+Assumptions!$C$11)*(1-$N107*(1+Assumptions!$C$11)))/($N107*Assumptions!$C$11)^2/Assumptions!$C$14)/($M107*Assumptions!$C$24))^(1/Assumptions!$C$16)/7)</f>
        <v/>
      </c>
      <c r="Q107" s="22" t="str">
        <f aca="false">IF($L107="","",14*((2*Assumptions!$C$23*($N107*(1-$N107)+$N107*(1+Assumptions!$C$12)*(1-$N107*(1+Assumptions!$C$12)))/($N107*Assumptions!$C$12)^2/Assumptions!$C$14)/($M107*Assumptions!$C$24))^(1/Assumptions!$C$16)/7)</f>
        <v/>
      </c>
      <c r="R107" s="22" t="str">
        <f aca="false">IF($L107="","",14*((2*Assumptions!$C$23*($N107*(1-$N107)+$N107*(1+Assumptions!$C$13)*(1-$N107*(1+Assumptions!$C$13)))/($N107*Assumptions!$C$13)^2/Assumptions!$C$14)/($M107*Assumptions!$C$24))^(1/Assumptions!$C$16)/7)</f>
        <v/>
      </c>
      <c r="S107" s="23" t="str">
        <f aca="false">IF($L107="","",IF($P107&lt;=Assumptions!$C$9,"Tier 1",IF($P107&lt;=Assumptions!$C$10,"Tier 1 (3-wk)",IF($Q107&lt;=Assumptions!$C$10,"Tier 2",IF($R107&lt;=Assumptions!$C$10,"Tier 3",IF(AND($H107&lt;&gt;"",14*((2*Assumptions!$C$23*(MIN($H107*52/12/$M107,0.95)*(1-MIN($H107*52/12/$M107,0.95))+MIN($H107*52/12/$M107,0.95)*(1+Assumptions!$C$12)*(1-MIN($H107*52/12/$M107,0.95)*(1+Assumptions!$C$12)))/(MIN($H107*52/12/$M107,0.95)*Assumptions!$C$12)^2/Assumptions!$C$14)/($M107*Assumptions!$C$24))^(1/Assumptions!$C$16)/7&lt;=Assumptions!$C$10),"Not a fit — micro-conversion tests only","Not a fit"))))))</f>
        <v/>
      </c>
      <c r="T107" s="18" t="str">
        <f aca="false">IF($S107="","",IF(LEFT($S107,6)="Tier 1","Pursue — trial + fast programme: 5% lifts read in 2–3 weeks",IF($S107="Tier 2","Qualify — bold tests only (10%+ lifts); funnel-wide, 3-week reads",IF($S107="Tier 3","Deprioritise — only exceptional (20%) changes read in 3 weeks",IF($S107="Not a fit","Do not trial A/B — purchase tests cannot read in 3 weeks","Trial only if tests are scored on CTA clicks / leads, not purchases")))))</f>
        <v/>
      </c>
      <c r="U107" s="19" t="str">
        <f aca="false">IF($L107="","",$L107*Assumptions!$C$17*$K107*12/1000000)</f>
        <v/>
      </c>
    </row>
    <row r="108" customFormat="false" ht="15" hidden="false" customHeight="false" outlineLevel="0" collapsed="false">
      <c r="A108" s="14"/>
      <c r="B108" s="14"/>
      <c r="C108" s="15"/>
      <c r="D108" s="15"/>
      <c r="E108" s="16"/>
      <c r="F108" s="16"/>
      <c r="G108" s="17"/>
      <c r="H108" s="15"/>
      <c r="I108" s="14"/>
      <c r="J108" s="18" t="str">
        <f aca="false">IF($C108&lt;&gt;"","Actual orders",IF($E108&lt;&gt;"","Est. from revenue",IF($D108&lt;&gt;"","Est. from traffic × CVR","")))</f>
        <v/>
      </c>
      <c r="K108" s="19" t="n">
        <f aca="false">IF($F108&lt;&gt;"",$F108,IFERROR(INDEX(Assumptions!$D$28:$D$39,MATCH($B108,Assumptions!$B$28:$B$39,0)),Assumptions!$C$19))</f>
        <v>250</v>
      </c>
      <c r="L108" s="20" t="str">
        <f aca="false">IF($C108&lt;&gt;"",$C108/Assumptions!$C$17,IF($E108&lt;&gt;"",$E108*1000000/12/$K108/Assumptions!$C$17,IF($D108&lt;&gt;"",$D108*IF($G108&lt;&gt;"",$G108,IFERROR(INDEX(Assumptions!$C$28:$C$39,MATCH($B108,Assumptions!$B$28:$B$39,0)),Assumptions!$C$18)),"")))</f>
        <v/>
      </c>
      <c r="M108" s="20" t="str">
        <f aca="false">IF($L108="","",IF($D108&lt;&gt;"",$D108,$L108/IF($G108&lt;&gt;"",$G108,IFERROR(INDEX(Assumptions!$C$28:$C$39,MATCH($B108,Assumptions!$B$28:$B$39,0)),Assumptions!$C$18))))</f>
        <v/>
      </c>
      <c r="N108" s="21" t="str">
        <f aca="false">IF($L108="","",MIN($L108/$M108,0.95))</f>
        <v/>
      </c>
      <c r="O108" s="20" t="str">
        <f aca="false">IF($L108="","",$L108*Assumptions!$C$17*12/52)</f>
        <v/>
      </c>
      <c r="P108" s="22" t="str">
        <f aca="false">IF($L108="","",14*((2*Assumptions!$C$23*($N108*(1-$N108)+$N108*(1+Assumptions!$C$11)*(1-$N108*(1+Assumptions!$C$11)))/($N108*Assumptions!$C$11)^2/Assumptions!$C$14)/($M108*Assumptions!$C$24))^(1/Assumptions!$C$16)/7)</f>
        <v/>
      </c>
      <c r="Q108" s="22" t="str">
        <f aca="false">IF($L108="","",14*((2*Assumptions!$C$23*($N108*(1-$N108)+$N108*(1+Assumptions!$C$12)*(1-$N108*(1+Assumptions!$C$12)))/($N108*Assumptions!$C$12)^2/Assumptions!$C$14)/($M108*Assumptions!$C$24))^(1/Assumptions!$C$16)/7)</f>
        <v/>
      </c>
      <c r="R108" s="22" t="str">
        <f aca="false">IF($L108="","",14*((2*Assumptions!$C$23*($N108*(1-$N108)+$N108*(1+Assumptions!$C$13)*(1-$N108*(1+Assumptions!$C$13)))/($N108*Assumptions!$C$13)^2/Assumptions!$C$14)/($M108*Assumptions!$C$24))^(1/Assumptions!$C$16)/7)</f>
        <v/>
      </c>
      <c r="S108" s="23" t="str">
        <f aca="false">IF($L108="","",IF($P108&lt;=Assumptions!$C$9,"Tier 1",IF($P108&lt;=Assumptions!$C$10,"Tier 1 (3-wk)",IF($Q108&lt;=Assumptions!$C$10,"Tier 2",IF($R108&lt;=Assumptions!$C$10,"Tier 3",IF(AND($H108&lt;&gt;"",14*((2*Assumptions!$C$23*(MIN($H108*52/12/$M108,0.95)*(1-MIN($H108*52/12/$M108,0.95))+MIN($H108*52/12/$M108,0.95)*(1+Assumptions!$C$12)*(1-MIN($H108*52/12/$M108,0.95)*(1+Assumptions!$C$12)))/(MIN($H108*52/12/$M108,0.95)*Assumptions!$C$12)^2/Assumptions!$C$14)/($M108*Assumptions!$C$24))^(1/Assumptions!$C$16)/7&lt;=Assumptions!$C$10),"Not a fit — micro-conversion tests only","Not a fit"))))))</f>
        <v/>
      </c>
      <c r="T108" s="18" t="str">
        <f aca="false">IF($S108="","",IF(LEFT($S108,6)="Tier 1","Pursue — trial + fast programme: 5% lifts read in 2–3 weeks",IF($S108="Tier 2","Qualify — bold tests only (10%+ lifts); funnel-wide, 3-week reads",IF($S108="Tier 3","Deprioritise — only exceptional (20%) changes read in 3 weeks",IF($S108="Not a fit","Do not trial A/B — purchase tests cannot read in 3 weeks","Trial only if tests are scored on CTA clicks / leads, not purchases")))))</f>
        <v/>
      </c>
      <c r="U108" s="19" t="str">
        <f aca="false">IF($L108="","",$L108*Assumptions!$C$17*$K108*12/1000000)</f>
        <v/>
      </c>
    </row>
    <row r="109" customFormat="false" ht="15" hidden="false" customHeight="false" outlineLevel="0" collapsed="false">
      <c r="A109" s="14"/>
      <c r="B109" s="14"/>
      <c r="C109" s="15"/>
      <c r="D109" s="15"/>
      <c r="E109" s="16"/>
      <c r="F109" s="16"/>
      <c r="G109" s="17"/>
      <c r="H109" s="15"/>
      <c r="I109" s="14"/>
      <c r="J109" s="18" t="str">
        <f aca="false">IF($C109&lt;&gt;"","Actual orders",IF($E109&lt;&gt;"","Est. from revenue",IF($D109&lt;&gt;"","Est. from traffic × CVR","")))</f>
        <v/>
      </c>
      <c r="K109" s="19" t="n">
        <f aca="false">IF($F109&lt;&gt;"",$F109,IFERROR(INDEX(Assumptions!$D$28:$D$39,MATCH($B109,Assumptions!$B$28:$B$39,0)),Assumptions!$C$19))</f>
        <v>250</v>
      </c>
      <c r="L109" s="20" t="str">
        <f aca="false">IF($C109&lt;&gt;"",$C109/Assumptions!$C$17,IF($E109&lt;&gt;"",$E109*1000000/12/$K109/Assumptions!$C$17,IF($D109&lt;&gt;"",$D109*IF($G109&lt;&gt;"",$G109,IFERROR(INDEX(Assumptions!$C$28:$C$39,MATCH($B109,Assumptions!$B$28:$B$39,0)),Assumptions!$C$18)),"")))</f>
        <v/>
      </c>
      <c r="M109" s="20" t="str">
        <f aca="false">IF($L109="","",IF($D109&lt;&gt;"",$D109,$L109/IF($G109&lt;&gt;"",$G109,IFERROR(INDEX(Assumptions!$C$28:$C$39,MATCH($B109,Assumptions!$B$28:$B$39,0)),Assumptions!$C$18))))</f>
        <v/>
      </c>
      <c r="N109" s="21" t="str">
        <f aca="false">IF($L109="","",MIN($L109/$M109,0.95))</f>
        <v/>
      </c>
      <c r="O109" s="20" t="str">
        <f aca="false">IF($L109="","",$L109*Assumptions!$C$17*12/52)</f>
        <v/>
      </c>
      <c r="P109" s="22" t="str">
        <f aca="false">IF($L109="","",14*((2*Assumptions!$C$23*($N109*(1-$N109)+$N109*(1+Assumptions!$C$11)*(1-$N109*(1+Assumptions!$C$11)))/($N109*Assumptions!$C$11)^2/Assumptions!$C$14)/($M109*Assumptions!$C$24))^(1/Assumptions!$C$16)/7)</f>
        <v/>
      </c>
      <c r="Q109" s="22" t="str">
        <f aca="false">IF($L109="","",14*((2*Assumptions!$C$23*($N109*(1-$N109)+$N109*(1+Assumptions!$C$12)*(1-$N109*(1+Assumptions!$C$12)))/($N109*Assumptions!$C$12)^2/Assumptions!$C$14)/($M109*Assumptions!$C$24))^(1/Assumptions!$C$16)/7)</f>
        <v/>
      </c>
      <c r="R109" s="22" t="str">
        <f aca="false">IF($L109="","",14*((2*Assumptions!$C$23*($N109*(1-$N109)+$N109*(1+Assumptions!$C$13)*(1-$N109*(1+Assumptions!$C$13)))/($N109*Assumptions!$C$13)^2/Assumptions!$C$14)/($M109*Assumptions!$C$24))^(1/Assumptions!$C$16)/7)</f>
        <v/>
      </c>
      <c r="S109" s="23" t="str">
        <f aca="false">IF($L109="","",IF($P109&lt;=Assumptions!$C$9,"Tier 1",IF($P109&lt;=Assumptions!$C$10,"Tier 1 (3-wk)",IF($Q109&lt;=Assumptions!$C$10,"Tier 2",IF($R109&lt;=Assumptions!$C$10,"Tier 3",IF(AND($H109&lt;&gt;"",14*((2*Assumptions!$C$23*(MIN($H109*52/12/$M109,0.95)*(1-MIN($H109*52/12/$M109,0.95))+MIN($H109*52/12/$M109,0.95)*(1+Assumptions!$C$12)*(1-MIN($H109*52/12/$M109,0.95)*(1+Assumptions!$C$12)))/(MIN($H109*52/12/$M109,0.95)*Assumptions!$C$12)^2/Assumptions!$C$14)/($M109*Assumptions!$C$24))^(1/Assumptions!$C$16)/7&lt;=Assumptions!$C$10),"Not a fit — micro-conversion tests only","Not a fit"))))))</f>
        <v/>
      </c>
      <c r="T109" s="18" t="str">
        <f aca="false">IF($S109="","",IF(LEFT($S109,6)="Tier 1","Pursue — trial + fast programme: 5% lifts read in 2–3 weeks",IF($S109="Tier 2","Qualify — bold tests only (10%+ lifts); funnel-wide, 3-week reads",IF($S109="Tier 3","Deprioritise — only exceptional (20%) changes read in 3 weeks",IF($S109="Not a fit","Do not trial A/B — purchase tests cannot read in 3 weeks","Trial only if tests are scored on CTA clicks / leads, not purchases")))))</f>
        <v/>
      </c>
      <c r="U109" s="19" t="str">
        <f aca="false">IF($L109="","",$L109*Assumptions!$C$17*$K109*12/1000000)</f>
        <v/>
      </c>
    </row>
    <row r="110" customFormat="false" ht="15" hidden="false" customHeight="false" outlineLevel="0" collapsed="false">
      <c r="A110" s="14"/>
      <c r="B110" s="14"/>
      <c r="C110" s="15"/>
      <c r="D110" s="15"/>
      <c r="E110" s="16"/>
      <c r="F110" s="16"/>
      <c r="G110" s="17"/>
      <c r="H110" s="15"/>
      <c r="I110" s="14"/>
      <c r="J110" s="18" t="str">
        <f aca="false">IF($C110&lt;&gt;"","Actual orders",IF($E110&lt;&gt;"","Est. from revenue",IF($D110&lt;&gt;"","Est. from traffic × CVR","")))</f>
        <v/>
      </c>
      <c r="K110" s="19" t="n">
        <f aca="false">IF($F110&lt;&gt;"",$F110,IFERROR(INDEX(Assumptions!$D$28:$D$39,MATCH($B110,Assumptions!$B$28:$B$39,0)),Assumptions!$C$19))</f>
        <v>250</v>
      </c>
      <c r="L110" s="20" t="str">
        <f aca="false">IF($C110&lt;&gt;"",$C110/Assumptions!$C$17,IF($E110&lt;&gt;"",$E110*1000000/12/$K110/Assumptions!$C$17,IF($D110&lt;&gt;"",$D110*IF($G110&lt;&gt;"",$G110,IFERROR(INDEX(Assumptions!$C$28:$C$39,MATCH($B110,Assumptions!$B$28:$B$39,0)),Assumptions!$C$18)),"")))</f>
        <v/>
      </c>
      <c r="M110" s="20" t="str">
        <f aca="false">IF($L110="","",IF($D110&lt;&gt;"",$D110,$L110/IF($G110&lt;&gt;"",$G110,IFERROR(INDEX(Assumptions!$C$28:$C$39,MATCH($B110,Assumptions!$B$28:$B$39,0)),Assumptions!$C$18))))</f>
        <v/>
      </c>
      <c r="N110" s="21" t="str">
        <f aca="false">IF($L110="","",MIN($L110/$M110,0.95))</f>
        <v/>
      </c>
      <c r="O110" s="20" t="str">
        <f aca="false">IF($L110="","",$L110*Assumptions!$C$17*12/52)</f>
        <v/>
      </c>
      <c r="P110" s="22" t="str">
        <f aca="false">IF($L110="","",14*((2*Assumptions!$C$23*($N110*(1-$N110)+$N110*(1+Assumptions!$C$11)*(1-$N110*(1+Assumptions!$C$11)))/($N110*Assumptions!$C$11)^2/Assumptions!$C$14)/($M110*Assumptions!$C$24))^(1/Assumptions!$C$16)/7)</f>
        <v/>
      </c>
      <c r="Q110" s="22" t="str">
        <f aca="false">IF($L110="","",14*((2*Assumptions!$C$23*($N110*(1-$N110)+$N110*(1+Assumptions!$C$12)*(1-$N110*(1+Assumptions!$C$12)))/($N110*Assumptions!$C$12)^2/Assumptions!$C$14)/($M110*Assumptions!$C$24))^(1/Assumptions!$C$16)/7)</f>
        <v/>
      </c>
      <c r="R110" s="22" t="str">
        <f aca="false">IF($L110="","",14*((2*Assumptions!$C$23*($N110*(1-$N110)+$N110*(1+Assumptions!$C$13)*(1-$N110*(1+Assumptions!$C$13)))/($N110*Assumptions!$C$13)^2/Assumptions!$C$14)/($M110*Assumptions!$C$24))^(1/Assumptions!$C$16)/7)</f>
        <v/>
      </c>
      <c r="S110" s="23" t="str">
        <f aca="false">IF($L110="","",IF($P110&lt;=Assumptions!$C$9,"Tier 1",IF($P110&lt;=Assumptions!$C$10,"Tier 1 (3-wk)",IF($Q110&lt;=Assumptions!$C$10,"Tier 2",IF($R110&lt;=Assumptions!$C$10,"Tier 3",IF(AND($H110&lt;&gt;"",14*((2*Assumptions!$C$23*(MIN($H110*52/12/$M110,0.95)*(1-MIN($H110*52/12/$M110,0.95))+MIN($H110*52/12/$M110,0.95)*(1+Assumptions!$C$12)*(1-MIN($H110*52/12/$M110,0.95)*(1+Assumptions!$C$12)))/(MIN($H110*52/12/$M110,0.95)*Assumptions!$C$12)^2/Assumptions!$C$14)/($M110*Assumptions!$C$24))^(1/Assumptions!$C$16)/7&lt;=Assumptions!$C$10),"Not a fit — micro-conversion tests only","Not a fit"))))))</f>
        <v/>
      </c>
      <c r="T110" s="18" t="str">
        <f aca="false">IF($S110="","",IF(LEFT($S110,6)="Tier 1","Pursue — trial + fast programme: 5% lifts read in 2–3 weeks",IF($S110="Tier 2","Qualify — bold tests only (10%+ lifts); funnel-wide, 3-week reads",IF($S110="Tier 3","Deprioritise — only exceptional (20%) changes read in 3 weeks",IF($S110="Not a fit","Do not trial A/B — purchase tests cannot read in 3 weeks","Trial only if tests are scored on CTA clicks / leads, not purchases")))))</f>
        <v/>
      </c>
      <c r="U110" s="19" t="str">
        <f aca="false">IF($L110="","",$L110*Assumptions!$C$17*$K110*12/1000000)</f>
        <v/>
      </c>
    </row>
    <row r="111" customFormat="false" ht="15" hidden="false" customHeight="false" outlineLevel="0" collapsed="false">
      <c r="A111" s="14"/>
      <c r="B111" s="14"/>
      <c r="C111" s="15"/>
      <c r="D111" s="15"/>
      <c r="E111" s="16"/>
      <c r="F111" s="16"/>
      <c r="G111" s="17"/>
      <c r="H111" s="15"/>
      <c r="I111" s="14"/>
      <c r="J111" s="18" t="str">
        <f aca="false">IF($C111&lt;&gt;"","Actual orders",IF($E111&lt;&gt;"","Est. from revenue",IF($D111&lt;&gt;"","Est. from traffic × CVR","")))</f>
        <v/>
      </c>
      <c r="K111" s="19" t="n">
        <f aca="false">IF($F111&lt;&gt;"",$F111,IFERROR(INDEX(Assumptions!$D$28:$D$39,MATCH($B111,Assumptions!$B$28:$B$39,0)),Assumptions!$C$19))</f>
        <v>250</v>
      </c>
      <c r="L111" s="20" t="str">
        <f aca="false">IF($C111&lt;&gt;"",$C111/Assumptions!$C$17,IF($E111&lt;&gt;"",$E111*1000000/12/$K111/Assumptions!$C$17,IF($D111&lt;&gt;"",$D111*IF($G111&lt;&gt;"",$G111,IFERROR(INDEX(Assumptions!$C$28:$C$39,MATCH($B111,Assumptions!$B$28:$B$39,0)),Assumptions!$C$18)),"")))</f>
        <v/>
      </c>
      <c r="M111" s="20" t="str">
        <f aca="false">IF($L111="","",IF($D111&lt;&gt;"",$D111,$L111/IF($G111&lt;&gt;"",$G111,IFERROR(INDEX(Assumptions!$C$28:$C$39,MATCH($B111,Assumptions!$B$28:$B$39,0)),Assumptions!$C$18))))</f>
        <v/>
      </c>
      <c r="N111" s="21" t="str">
        <f aca="false">IF($L111="","",MIN($L111/$M111,0.95))</f>
        <v/>
      </c>
      <c r="O111" s="20" t="str">
        <f aca="false">IF($L111="","",$L111*Assumptions!$C$17*12/52)</f>
        <v/>
      </c>
      <c r="P111" s="22" t="str">
        <f aca="false">IF($L111="","",14*((2*Assumptions!$C$23*($N111*(1-$N111)+$N111*(1+Assumptions!$C$11)*(1-$N111*(1+Assumptions!$C$11)))/($N111*Assumptions!$C$11)^2/Assumptions!$C$14)/($M111*Assumptions!$C$24))^(1/Assumptions!$C$16)/7)</f>
        <v/>
      </c>
      <c r="Q111" s="22" t="str">
        <f aca="false">IF($L111="","",14*((2*Assumptions!$C$23*($N111*(1-$N111)+$N111*(1+Assumptions!$C$12)*(1-$N111*(1+Assumptions!$C$12)))/($N111*Assumptions!$C$12)^2/Assumptions!$C$14)/($M111*Assumptions!$C$24))^(1/Assumptions!$C$16)/7)</f>
        <v/>
      </c>
      <c r="R111" s="22" t="str">
        <f aca="false">IF($L111="","",14*((2*Assumptions!$C$23*($N111*(1-$N111)+$N111*(1+Assumptions!$C$13)*(1-$N111*(1+Assumptions!$C$13)))/($N111*Assumptions!$C$13)^2/Assumptions!$C$14)/($M111*Assumptions!$C$24))^(1/Assumptions!$C$16)/7)</f>
        <v/>
      </c>
      <c r="S111" s="23" t="str">
        <f aca="false">IF($L111="","",IF($P111&lt;=Assumptions!$C$9,"Tier 1",IF($P111&lt;=Assumptions!$C$10,"Tier 1 (3-wk)",IF($Q111&lt;=Assumptions!$C$10,"Tier 2",IF($R111&lt;=Assumptions!$C$10,"Tier 3",IF(AND($H111&lt;&gt;"",14*((2*Assumptions!$C$23*(MIN($H111*52/12/$M111,0.95)*(1-MIN($H111*52/12/$M111,0.95))+MIN($H111*52/12/$M111,0.95)*(1+Assumptions!$C$12)*(1-MIN($H111*52/12/$M111,0.95)*(1+Assumptions!$C$12)))/(MIN($H111*52/12/$M111,0.95)*Assumptions!$C$12)^2/Assumptions!$C$14)/($M111*Assumptions!$C$24))^(1/Assumptions!$C$16)/7&lt;=Assumptions!$C$10),"Not a fit — micro-conversion tests only","Not a fit"))))))</f>
        <v/>
      </c>
      <c r="T111" s="18" t="str">
        <f aca="false">IF($S111="","",IF(LEFT($S111,6)="Tier 1","Pursue — trial + fast programme: 5% lifts read in 2–3 weeks",IF($S111="Tier 2","Qualify — bold tests only (10%+ lifts); funnel-wide, 3-week reads",IF($S111="Tier 3","Deprioritise — only exceptional (20%) changes read in 3 weeks",IF($S111="Not a fit","Do not trial A/B — purchase tests cannot read in 3 weeks","Trial only if tests are scored on CTA clicks / leads, not purchases")))))</f>
        <v/>
      </c>
      <c r="U111" s="19" t="str">
        <f aca="false">IF($L111="","",$L111*Assumptions!$C$17*$K111*12/1000000)</f>
        <v/>
      </c>
    </row>
    <row r="112" customFormat="false" ht="15" hidden="false" customHeight="false" outlineLevel="0" collapsed="false">
      <c r="A112" s="14"/>
      <c r="B112" s="14"/>
      <c r="C112" s="15"/>
      <c r="D112" s="15"/>
      <c r="E112" s="16"/>
      <c r="F112" s="16"/>
      <c r="G112" s="17"/>
      <c r="H112" s="15"/>
      <c r="I112" s="14"/>
      <c r="J112" s="18" t="str">
        <f aca="false">IF($C112&lt;&gt;"","Actual orders",IF($E112&lt;&gt;"","Est. from revenue",IF($D112&lt;&gt;"","Est. from traffic × CVR","")))</f>
        <v/>
      </c>
      <c r="K112" s="19" t="n">
        <f aca="false">IF($F112&lt;&gt;"",$F112,IFERROR(INDEX(Assumptions!$D$28:$D$39,MATCH($B112,Assumptions!$B$28:$B$39,0)),Assumptions!$C$19))</f>
        <v>250</v>
      </c>
      <c r="L112" s="20" t="str">
        <f aca="false">IF($C112&lt;&gt;"",$C112/Assumptions!$C$17,IF($E112&lt;&gt;"",$E112*1000000/12/$K112/Assumptions!$C$17,IF($D112&lt;&gt;"",$D112*IF($G112&lt;&gt;"",$G112,IFERROR(INDEX(Assumptions!$C$28:$C$39,MATCH($B112,Assumptions!$B$28:$B$39,0)),Assumptions!$C$18)),"")))</f>
        <v/>
      </c>
      <c r="M112" s="20" t="str">
        <f aca="false">IF($L112="","",IF($D112&lt;&gt;"",$D112,$L112/IF($G112&lt;&gt;"",$G112,IFERROR(INDEX(Assumptions!$C$28:$C$39,MATCH($B112,Assumptions!$B$28:$B$39,0)),Assumptions!$C$18))))</f>
        <v/>
      </c>
      <c r="N112" s="21" t="str">
        <f aca="false">IF($L112="","",MIN($L112/$M112,0.95))</f>
        <v/>
      </c>
      <c r="O112" s="20" t="str">
        <f aca="false">IF($L112="","",$L112*Assumptions!$C$17*12/52)</f>
        <v/>
      </c>
      <c r="P112" s="22" t="str">
        <f aca="false">IF($L112="","",14*((2*Assumptions!$C$23*($N112*(1-$N112)+$N112*(1+Assumptions!$C$11)*(1-$N112*(1+Assumptions!$C$11)))/($N112*Assumptions!$C$11)^2/Assumptions!$C$14)/($M112*Assumptions!$C$24))^(1/Assumptions!$C$16)/7)</f>
        <v/>
      </c>
      <c r="Q112" s="22" t="str">
        <f aca="false">IF($L112="","",14*((2*Assumptions!$C$23*($N112*(1-$N112)+$N112*(1+Assumptions!$C$12)*(1-$N112*(1+Assumptions!$C$12)))/($N112*Assumptions!$C$12)^2/Assumptions!$C$14)/($M112*Assumptions!$C$24))^(1/Assumptions!$C$16)/7)</f>
        <v/>
      </c>
      <c r="R112" s="22" t="str">
        <f aca="false">IF($L112="","",14*((2*Assumptions!$C$23*($N112*(1-$N112)+$N112*(1+Assumptions!$C$13)*(1-$N112*(1+Assumptions!$C$13)))/($N112*Assumptions!$C$13)^2/Assumptions!$C$14)/($M112*Assumptions!$C$24))^(1/Assumptions!$C$16)/7)</f>
        <v/>
      </c>
      <c r="S112" s="23" t="str">
        <f aca="false">IF($L112="","",IF($P112&lt;=Assumptions!$C$9,"Tier 1",IF($P112&lt;=Assumptions!$C$10,"Tier 1 (3-wk)",IF($Q112&lt;=Assumptions!$C$10,"Tier 2",IF($R112&lt;=Assumptions!$C$10,"Tier 3",IF(AND($H112&lt;&gt;"",14*((2*Assumptions!$C$23*(MIN($H112*52/12/$M112,0.95)*(1-MIN($H112*52/12/$M112,0.95))+MIN($H112*52/12/$M112,0.95)*(1+Assumptions!$C$12)*(1-MIN($H112*52/12/$M112,0.95)*(1+Assumptions!$C$12)))/(MIN($H112*52/12/$M112,0.95)*Assumptions!$C$12)^2/Assumptions!$C$14)/($M112*Assumptions!$C$24))^(1/Assumptions!$C$16)/7&lt;=Assumptions!$C$10),"Not a fit — micro-conversion tests only","Not a fit"))))))</f>
        <v/>
      </c>
      <c r="T112" s="18" t="str">
        <f aca="false">IF($S112="","",IF(LEFT($S112,6)="Tier 1","Pursue — trial + fast programme: 5% lifts read in 2–3 weeks",IF($S112="Tier 2","Qualify — bold tests only (10%+ lifts); funnel-wide, 3-week reads",IF($S112="Tier 3","Deprioritise — only exceptional (20%) changes read in 3 weeks",IF($S112="Not a fit","Do not trial A/B — purchase tests cannot read in 3 weeks","Trial only if tests are scored on CTA clicks / leads, not purchases")))))</f>
        <v/>
      </c>
      <c r="U112" s="19" t="str">
        <f aca="false">IF($L112="","",$L112*Assumptions!$C$17*$K112*12/1000000)</f>
        <v/>
      </c>
    </row>
    <row r="113" customFormat="false" ht="15" hidden="false" customHeight="false" outlineLevel="0" collapsed="false">
      <c r="A113" s="14"/>
      <c r="B113" s="14"/>
      <c r="C113" s="15"/>
      <c r="D113" s="15"/>
      <c r="E113" s="16"/>
      <c r="F113" s="16"/>
      <c r="G113" s="17"/>
      <c r="H113" s="15"/>
      <c r="I113" s="14"/>
      <c r="J113" s="18" t="str">
        <f aca="false">IF($C113&lt;&gt;"","Actual orders",IF($E113&lt;&gt;"","Est. from revenue",IF($D113&lt;&gt;"","Est. from traffic × CVR","")))</f>
        <v/>
      </c>
      <c r="K113" s="19" t="n">
        <f aca="false">IF($F113&lt;&gt;"",$F113,IFERROR(INDEX(Assumptions!$D$28:$D$39,MATCH($B113,Assumptions!$B$28:$B$39,0)),Assumptions!$C$19))</f>
        <v>250</v>
      </c>
      <c r="L113" s="20" t="str">
        <f aca="false">IF($C113&lt;&gt;"",$C113/Assumptions!$C$17,IF($E113&lt;&gt;"",$E113*1000000/12/$K113/Assumptions!$C$17,IF($D113&lt;&gt;"",$D113*IF($G113&lt;&gt;"",$G113,IFERROR(INDEX(Assumptions!$C$28:$C$39,MATCH($B113,Assumptions!$B$28:$B$39,0)),Assumptions!$C$18)),"")))</f>
        <v/>
      </c>
      <c r="M113" s="20" t="str">
        <f aca="false">IF($L113="","",IF($D113&lt;&gt;"",$D113,$L113/IF($G113&lt;&gt;"",$G113,IFERROR(INDEX(Assumptions!$C$28:$C$39,MATCH($B113,Assumptions!$B$28:$B$39,0)),Assumptions!$C$18))))</f>
        <v/>
      </c>
      <c r="N113" s="21" t="str">
        <f aca="false">IF($L113="","",MIN($L113/$M113,0.95))</f>
        <v/>
      </c>
      <c r="O113" s="20" t="str">
        <f aca="false">IF($L113="","",$L113*Assumptions!$C$17*12/52)</f>
        <v/>
      </c>
      <c r="P113" s="22" t="str">
        <f aca="false">IF($L113="","",14*((2*Assumptions!$C$23*($N113*(1-$N113)+$N113*(1+Assumptions!$C$11)*(1-$N113*(1+Assumptions!$C$11)))/($N113*Assumptions!$C$11)^2/Assumptions!$C$14)/($M113*Assumptions!$C$24))^(1/Assumptions!$C$16)/7)</f>
        <v/>
      </c>
      <c r="Q113" s="22" t="str">
        <f aca="false">IF($L113="","",14*((2*Assumptions!$C$23*($N113*(1-$N113)+$N113*(1+Assumptions!$C$12)*(1-$N113*(1+Assumptions!$C$12)))/($N113*Assumptions!$C$12)^2/Assumptions!$C$14)/($M113*Assumptions!$C$24))^(1/Assumptions!$C$16)/7)</f>
        <v/>
      </c>
      <c r="R113" s="22" t="str">
        <f aca="false">IF($L113="","",14*((2*Assumptions!$C$23*($N113*(1-$N113)+$N113*(1+Assumptions!$C$13)*(1-$N113*(1+Assumptions!$C$13)))/($N113*Assumptions!$C$13)^2/Assumptions!$C$14)/($M113*Assumptions!$C$24))^(1/Assumptions!$C$16)/7)</f>
        <v/>
      </c>
      <c r="S113" s="23" t="str">
        <f aca="false">IF($L113="","",IF($P113&lt;=Assumptions!$C$9,"Tier 1",IF($P113&lt;=Assumptions!$C$10,"Tier 1 (3-wk)",IF($Q113&lt;=Assumptions!$C$10,"Tier 2",IF($R113&lt;=Assumptions!$C$10,"Tier 3",IF(AND($H113&lt;&gt;"",14*((2*Assumptions!$C$23*(MIN($H113*52/12/$M113,0.95)*(1-MIN($H113*52/12/$M113,0.95))+MIN($H113*52/12/$M113,0.95)*(1+Assumptions!$C$12)*(1-MIN($H113*52/12/$M113,0.95)*(1+Assumptions!$C$12)))/(MIN($H113*52/12/$M113,0.95)*Assumptions!$C$12)^2/Assumptions!$C$14)/($M113*Assumptions!$C$24))^(1/Assumptions!$C$16)/7&lt;=Assumptions!$C$10),"Not a fit — micro-conversion tests only","Not a fit"))))))</f>
        <v/>
      </c>
      <c r="T113" s="18" t="str">
        <f aca="false">IF($S113="","",IF(LEFT($S113,6)="Tier 1","Pursue — trial + fast programme: 5% lifts read in 2–3 weeks",IF($S113="Tier 2","Qualify — bold tests only (10%+ lifts); funnel-wide, 3-week reads",IF($S113="Tier 3","Deprioritise — only exceptional (20%) changes read in 3 weeks",IF($S113="Not a fit","Do not trial A/B — purchase tests cannot read in 3 weeks","Trial only if tests are scored on CTA clicks / leads, not purchases")))))</f>
        <v/>
      </c>
      <c r="U113" s="19" t="str">
        <f aca="false">IF($L113="","",$L113*Assumptions!$C$17*$K113*12/1000000)</f>
        <v/>
      </c>
    </row>
    <row r="114" customFormat="false" ht="15" hidden="false" customHeight="false" outlineLevel="0" collapsed="false">
      <c r="A114" s="14"/>
      <c r="B114" s="14"/>
      <c r="C114" s="15"/>
      <c r="D114" s="15"/>
      <c r="E114" s="16"/>
      <c r="F114" s="16"/>
      <c r="G114" s="17"/>
      <c r="H114" s="15"/>
      <c r="I114" s="14"/>
      <c r="J114" s="18" t="str">
        <f aca="false">IF($C114&lt;&gt;"","Actual orders",IF($E114&lt;&gt;"","Est. from revenue",IF($D114&lt;&gt;"","Est. from traffic × CVR","")))</f>
        <v/>
      </c>
      <c r="K114" s="19" t="n">
        <f aca="false">IF($F114&lt;&gt;"",$F114,IFERROR(INDEX(Assumptions!$D$28:$D$39,MATCH($B114,Assumptions!$B$28:$B$39,0)),Assumptions!$C$19))</f>
        <v>250</v>
      </c>
      <c r="L114" s="20" t="str">
        <f aca="false">IF($C114&lt;&gt;"",$C114/Assumptions!$C$17,IF($E114&lt;&gt;"",$E114*1000000/12/$K114/Assumptions!$C$17,IF($D114&lt;&gt;"",$D114*IF($G114&lt;&gt;"",$G114,IFERROR(INDEX(Assumptions!$C$28:$C$39,MATCH($B114,Assumptions!$B$28:$B$39,0)),Assumptions!$C$18)),"")))</f>
        <v/>
      </c>
      <c r="M114" s="20" t="str">
        <f aca="false">IF($L114="","",IF($D114&lt;&gt;"",$D114,$L114/IF($G114&lt;&gt;"",$G114,IFERROR(INDEX(Assumptions!$C$28:$C$39,MATCH($B114,Assumptions!$B$28:$B$39,0)),Assumptions!$C$18))))</f>
        <v/>
      </c>
      <c r="N114" s="21" t="str">
        <f aca="false">IF($L114="","",MIN($L114/$M114,0.95))</f>
        <v/>
      </c>
      <c r="O114" s="20" t="str">
        <f aca="false">IF($L114="","",$L114*Assumptions!$C$17*12/52)</f>
        <v/>
      </c>
      <c r="P114" s="22" t="str">
        <f aca="false">IF($L114="","",14*((2*Assumptions!$C$23*($N114*(1-$N114)+$N114*(1+Assumptions!$C$11)*(1-$N114*(1+Assumptions!$C$11)))/($N114*Assumptions!$C$11)^2/Assumptions!$C$14)/($M114*Assumptions!$C$24))^(1/Assumptions!$C$16)/7)</f>
        <v/>
      </c>
      <c r="Q114" s="22" t="str">
        <f aca="false">IF($L114="","",14*((2*Assumptions!$C$23*($N114*(1-$N114)+$N114*(1+Assumptions!$C$12)*(1-$N114*(1+Assumptions!$C$12)))/($N114*Assumptions!$C$12)^2/Assumptions!$C$14)/($M114*Assumptions!$C$24))^(1/Assumptions!$C$16)/7)</f>
        <v/>
      </c>
      <c r="R114" s="22" t="str">
        <f aca="false">IF($L114="","",14*((2*Assumptions!$C$23*($N114*(1-$N114)+$N114*(1+Assumptions!$C$13)*(1-$N114*(1+Assumptions!$C$13)))/($N114*Assumptions!$C$13)^2/Assumptions!$C$14)/($M114*Assumptions!$C$24))^(1/Assumptions!$C$16)/7)</f>
        <v/>
      </c>
      <c r="S114" s="23" t="str">
        <f aca="false">IF($L114="","",IF($P114&lt;=Assumptions!$C$9,"Tier 1",IF($P114&lt;=Assumptions!$C$10,"Tier 1 (3-wk)",IF($Q114&lt;=Assumptions!$C$10,"Tier 2",IF($R114&lt;=Assumptions!$C$10,"Tier 3",IF(AND($H114&lt;&gt;"",14*((2*Assumptions!$C$23*(MIN($H114*52/12/$M114,0.95)*(1-MIN($H114*52/12/$M114,0.95))+MIN($H114*52/12/$M114,0.95)*(1+Assumptions!$C$12)*(1-MIN($H114*52/12/$M114,0.95)*(1+Assumptions!$C$12)))/(MIN($H114*52/12/$M114,0.95)*Assumptions!$C$12)^2/Assumptions!$C$14)/($M114*Assumptions!$C$24))^(1/Assumptions!$C$16)/7&lt;=Assumptions!$C$10),"Not a fit — micro-conversion tests only","Not a fit"))))))</f>
        <v/>
      </c>
      <c r="T114" s="18" t="str">
        <f aca="false">IF($S114="","",IF(LEFT($S114,6)="Tier 1","Pursue — trial + fast programme: 5% lifts read in 2–3 weeks",IF($S114="Tier 2","Qualify — bold tests only (10%+ lifts); funnel-wide, 3-week reads",IF($S114="Tier 3","Deprioritise — only exceptional (20%) changes read in 3 weeks",IF($S114="Not a fit","Do not trial A/B — purchase tests cannot read in 3 weeks","Trial only if tests are scored on CTA clicks / leads, not purchases")))))</f>
        <v/>
      </c>
      <c r="U114" s="19" t="str">
        <f aca="false">IF($L114="","",$L114*Assumptions!$C$17*$K114*12/1000000)</f>
        <v/>
      </c>
    </row>
    <row r="115" customFormat="false" ht="15" hidden="false" customHeight="false" outlineLevel="0" collapsed="false">
      <c r="A115" s="14"/>
      <c r="B115" s="14"/>
      <c r="C115" s="15"/>
      <c r="D115" s="15"/>
      <c r="E115" s="16"/>
      <c r="F115" s="16"/>
      <c r="G115" s="17"/>
      <c r="H115" s="15"/>
      <c r="I115" s="14"/>
      <c r="J115" s="18" t="str">
        <f aca="false">IF($C115&lt;&gt;"","Actual orders",IF($E115&lt;&gt;"","Est. from revenue",IF($D115&lt;&gt;"","Est. from traffic × CVR","")))</f>
        <v/>
      </c>
      <c r="K115" s="19" t="n">
        <f aca="false">IF($F115&lt;&gt;"",$F115,IFERROR(INDEX(Assumptions!$D$28:$D$39,MATCH($B115,Assumptions!$B$28:$B$39,0)),Assumptions!$C$19))</f>
        <v>250</v>
      </c>
      <c r="L115" s="20" t="str">
        <f aca="false">IF($C115&lt;&gt;"",$C115/Assumptions!$C$17,IF($E115&lt;&gt;"",$E115*1000000/12/$K115/Assumptions!$C$17,IF($D115&lt;&gt;"",$D115*IF($G115&lt;&gt;"",$G115,IFERROR(INDEX(Assumptions!$C$28:$C$39,MATCH($B115,Assumptions!$B$28:$B$39,0)),Assumptions!$C$18)),"")))</f>
        <v/>
      </c>
      <c r="M115" s="20" t="str">
        <f aca="false">IF($L115="","",IF($D115&lt;&gt;"",$D115,$L115/IF($G115&lt;&gt;"",$G115,IFERROR(INDEX(Assumptions!$C$28:$C$39,MATCH($B115,Assumptions!$B$28:$B$39,0)),Assumptions!$C$18))))</f>
        <v/>
      </c>
      <c r="N115" s="21" t="str">
        <f aca="false">IF($L115="","",MIN($L115/$M115,0.95))</f>
        <v/>
      </c>
      <c r="O115" s="20" t="str">
        <f aca="false">IF($L115="","",$L115*Assumptions!$C$17*12/52)</f>
        <v/>
      </c>
      <c r="P115" s="22" t="str">
        <f aca="false">IF($L115="","",14*((2*Assumptions!$C$23*($N115*(1-$N115)+$N115*(1+Assumptions!$C$11)*(1-$N115*(1+Assumptions!$C$11)))/($N115*Assumptions!$C$11)^2/Assumptions!$C$14)/($M115*Assumptions!$C$24))^(1/Assumptions!$C$16)/7)</f>
        <v/>
      </c>
      <c r="Q115" s="22" t="str">
        <f aca="false">IF($L115="","",14*((2*Assumptions!$C$23*($N115*(1-$N115)+$N115*(1+Assumptions!$C$12)*(1-$N115*(1+Assumptions!$C$12)))/($N115*Assumptions!$C$12)^2/Assumptions!$C$14)/($M115*Assumptions!$C$24))^(1/Assumptions!$C$16)/7)</f>
        <v/>
      </c>
      <c r="R115" s="22" t="str">
        <f aca="false">IF($L115="","",14*((2*Assumptions!$C$23*($N115*(1-$N115)+$N115*(1+Assumptions!$C$13)*(1-$N115*(1+Assumptions!$C$13)))/($N115*Assumptions!$C$13)^2/Assumptions!$C$14)/($M115*Assumptions!$C$24))^(1/Assumptions!$C$16)/7)</f>
        <v/>
      </c>
      <c r="S115" s="23" t="str">
        <f aca="false">IF($L115="","",IF($P115&lt;=Assumptions!$C$9,"Tier 1",IF($P115&lt;=Assumptions!$C$10,"Tier 1 (3-wk)",IF($Q115&lt;=Assumptions!$C$10,"Tier 2",IF($R115&lt;=Assumptions!$C$10,"Tier 3",IF(AND($H115&lt;&gt;"",14*((2*Assumptions!$C$23*(MIN($H115*52/12/$M115,0.95)*(1-MIN($H115*52/12/$M115,0.95))+MIN($H115*52/12/$M115,0.95)*(1+Assumptions!$C$12)*(1-MIN($H115*52/12/$M115,0.95)*(1+Assumptions!$C$12)))/(MIN($H115*52/12/$M115,0.95)*Assumptions!$C$12)^2/Assumptions!$C$14)/($M115*Assumptions!$C$24))^(1/Assumptions!$C$16)/7&lt;=Assumptions!$C$10),"Not a fit — micro-conversion tests only","Not a fit"))))))</f>
        <v/>
      </c>
      <c r="T115" s="18" t="str">
        <f aca="false">IF($S115="","",IF(LEFT($S115,6)="Tier 1","Pursue — trial + fast programme: 5% lifts read in 2–3 weeks",IF($S115="Tier 2","Qualify — bold tests only (10%+ lifts); funnel-wide, 3-week reads",IF($S115="Tier 3","Deprioritise — only exceptional (20%) changes read in 3 weeks",IF($S115="Not a fit","Do not trial A/B — purchase tests cannot read in 3 weeks","Trial only if tests are scored on CTA clicks / leads, not purchases")))))</f>
        <v/>
      </c>
      <c r="U115" s="19" t="str">
        <f aca="false">IF($L115="","",$L115*Assumptions!$C$17*$K115*12/1000000)</f>
        <v/>
      </c>
    </row>
    <row r="116" customFormat="false" ht="15" hidden="false" customHeight="false" outlineLevel="0" collapsed="false">
      <c r="A116" s="14"/>
      <c r="B116" s="14"/>
      <c r="C116" s="15"/>
      <c r="D116" s="15"/>
      <c r="E116" s="16"/>
      <c r="F116" s="16"/>
      <c r="G116" s="17"/>
      <c r="H116" s="15"/>
      <c r="I116" s="14"/>
      <c r="J116" s="18" t="str">
        <f aca="false">IF($C116&lt;&gt;"","Actual orders",IF($E116&lt;&gt;"","Est. from revenue",IF($D116&lt;&gt;"","Est. from traffic × CVR","")))</f>
        <v/>
      </c>
      <c r="K116" s="19" t="n">
        <f aca="false">IF($F116&lt;&gt;"",$F116,IFERROR(INDEX(Assumptions!$D$28:$D$39,MATCH($B116,Assumptions!$B$28:$B$39,0)),Assumptions!$C$19))</f>
        <v>250</v>
      </c>
      <c r="L116" s="20" t="str">
        <f aca="false">IF($C116&lt;&gt;"",$C116/Assumptions!$C$17,IF($E116&lt;&gt;"",$E116*1000000/12/$K116/Assumptions!$C$17,IF($D116&lt;&gt;"",$D116*IF($G116&lt;&gt;"",$G116,IFERROR(INDEX(Assumptions!$C$28:$C$39,MATCH($B116,Assumptions!$B$28:$B$39,0)),Assumptions!$C$18)),"")))</f>
        <v/>
      </c>
      <c r="M116" s="20" t="str">
        <f aca="false">IF($L116="","",IF($D116&lt;&gt;"",$D116,$L116/IF($G116&lt;&gt;"",$G116,IFERROR(INDEX(Assumptions!$C$28:$C$39,MATCH($B116,Assumptions!$B$28:$B$39,0)),Assumptions!$C$18))))</f>
        <v/>
      </c>
      <c r="N116" s="21" t="str">
        <f aca="false">IF($L116="","",MIN($L116/$M116,0.95))</f>
        <v/>
      </c>
      <c r="O116" s="20" t="str">
        <f aca="false">IF($L116="","",$L116*Assumptions!$C$17*12/52)</f>
        <v/>
      </c>
      <c r="P116" s="22" t="str">
        <f aca="false">IF($L116="","",14*((2*Assumptions!$C$23*($N116*(1-$N116)+$N116*(1+Assumptions!$C$11)*(1-$N116*(1+Assumptions!$C$11)))/($N116*Assumptions!$C$11)^2/Assumptions!$C$14)/($M116*Assumptions!$C$24))^(1/Assumptions!$C$16)/7)</f>
        <v/>
      </c>
      <c r="Q116" s="22" t="str">
        <f aca="false">IF($L116="","",14*((2*Assumptions!$C$23*($N116*(1-$N116)+$N116*(1+Assumptions!$C$12)*(1-$N116*(1+Assumptions!$C$12)))/($N116*Assumptions!$C$12)^2/Assumptions!$C$14)/($M116*Assumptions!$C$24))^(1/Assumptions!$C$16)/7)</f>
        <v/>
      </c>
      <c r="R116" s="22" t="str">
        <f aca="false">IF($L116="","",14*((2*Assumptions!$C$23*($N116*(1-$N116)+$N116*(1+Assumptions!$C$13)*(1-$N116*(1+Assumptions!$C$13)))/($N116*Assumptions!$C$13)^2/Assumptions!$C$14)/($M116*Assumptions!$C$24))^(1/Assumptions!$C$16)/7)</f>
        <v/>
      </c>
      <c r="S116" s="23" t="str">
        <f aca="false">IF($L116="","",IF($P116&lt;=Assumptions!$C$9,"Tier 1",IF($P116&lt;=Assumptions!$C$10,"Tier 1 (3-wk)",IF($Q116&lt;=Assumptions!$C$10,"Tier 2",IF($R116&lt;=Assumptions!$C$10,"Tier 3",IF(AND($H116&lt;&gt;"",14*((2*Assumptions!$C$23*(MIN($H116*52/12/$M116,0.95)*(1-MIN($H116*52/12/$M116,0.95))+MIN($H116*52/12/$M116,0.95)*(1+Assumptions!$C$12)*(1-MIN($H116*52/12/$M116,0.95)*(1+Assumptions!$C$12)))/(MIN($H116*52/12/$M116,0.95)*Assumptions!$C$12)^2/Assumptions!$C$14)/($M116*Assumptions!$C$24))^(1/Assumptions!$C$16)/7&lt;=Assumptions!$C$10),"Not a fit — micro-conversion tests only","Not a fit"))))))</f>
        <v/>
      </c>
      <c r="T116" s="18" t="str">
        <f aca="false">IF($S116="","",IF(LEFT($S116,6)="Tier 1","Pursue — trial + fast programme: 5% lifts read in 2–3 weeks",IF($S116="Tier 2","Qualify — bold tests only (10%+ lifts); funnel-wide, 3-week reads",IF($S116="Tier 3","Deprioritise — only exceptional (20%) changes read in 3 weeks",IF($S116="Not a fit","Do not trial A/B — purchase tests cannot read in 3 weeks","Trial only if tests are scored on CTA clicks / leads, not purchases")))))</f>
        <v/>
      </c>
      <c r="U116" s="19" t="str">
        <f aca="false">IF($L116="","",$L116*Assumptions!$C$17*$K116*12/1000000)</f>
        <v/>
      </c>
    </row>
    <row r="117" customFormat="false" ht="15" hidden="false" customHeight="false" outlineLevel="0" collapsed="false">
      <c r="A117" s="14"/>
      <c r="B117" s="14"/>
      <c r="C117" s="15"/>
      <c r="D117" s="15"/>
      <c r="E117" s="16"/>
      <c r="F117" s="16"/>
      <c r="G117" s="17"/>
      <c r="H117" s="15"/>
      <c r="I117" s="14"/>
      <c r="J117" s="18" t="str">
        <f aca="false">IF($C117&lt;&gt;"","Actual orders",IF($E117&lt;&gt;"","Est. from revenue",IF($D117&lt;&gt;"","Est. from traffic × CVR","")))</f>
        <v/>
      </c>
      <c r="K117" s="19" t="n">
        <f aca="false">IF($F117&lt;&gt;"",$F117,IFERROR(INDEX(Assumptions!$D$28:$D$39,MATCH($B117,Assumptions!$B$28:$B$39,0)),Assumptions!$C$19))</f>
        <v>250</v>
      </c>
      <c r="L117" s="20" t="str">
        <f aca="false">IF($C117&lt;&gt;"",$C117/Assumptions!$C$17,IF($E117&lt;&gt;"",$E117*1000000/12/$K117/Assumptions!$C$17,IF($D117&lt;&gt;"",$D117*IF($G117&lt;&gt;"",$G117,IFERROR(INDEX(Assumptions!$C$28:$C$39,MATCH($B117,Assumptions!$B$28:$B$39,0)),Assumptions!$C$18)),"")))</f>
        <v/>
      </c>
      <c r="M117" s="20" t="str">
        <f aca="false">IF($L117="","",IF($D117&lt;&gt;"",$D117,$L117/IF($G117&lt;&gt;"",$G117,IFERROR(INDEX(Assumptions!$C$28:$C$39,MATCH($B117,Assumptions!$B$28:$B$39,0)),Assumptions!$C$18))))</f>
        <v/>
      </c>
      <c r="N117" s="21" t="str">
        <f aca="false">IF($L117="","",MIN($L117/$M117,0.95))</f>
        <v/>
      </c>
      <c r="O117" s="20" t="str">
        <f aca="false">IF($L117="","",$L117*Assumptions!$C$17*12/52)</f>
        <v/>
      </c>
      <c r="P117" s="22" t="str">
        <f aca="false">IF($L117="","",14*((2*Assumptions!$C$23*($N117*(1-$N117)+$N117*(1+Assumptions!$C$11)*(1-$N117*(1+Assumptions!$C$11)))/($N117*Assumptions!$C$11)^2/Assumptions!$C$14)/($M117*Assumptions!$C$24))^(1/Assumptions!$C$16)/7)</f>
        <v/>
      </c>
      <c r="Q117" s="22" t="str">
        <f aca="false">IF($L117="","",14*((2*Assumptions!$C$23*($N117*(1-$N117)+$N117*(1+Assumptions!$C$12)*(1-$N117*(1+Assumptions!$C$12)))/($N117*Assumptions!$C$12)^2/Assumptions!$C$14)/($M117*Assumptions!$C$24))^(1/Assumptions!$C$16)/7)</f>
        <v/>
      </c>
      <c r="R117" s="22" t="str">
        <f aca="false">IF($L117="","",14*((2*Assumptions!$C$23*($N117*(1-$N117)+$N117*(1+Assumptions!$C$13)*(1-$N117*(1+Assumptions!$C$13)))/($N117*Assumptions!$C$13)^2/Assumptions!$C$14)/($M117*Assumptions!$C$24))^(1/Assumptions!$C$16)/7)</f>
        <v/>
      </c>
      <c r="S117" s="23" t="str">
        <f aca="false">IF($L117="","",IF($P117&lt;=Assumptions!$C$9,"Tier 1",IF($P117&lt;=Assumptions!$C$10,"Tier 1 (3-wk)",IF($Q117&lt;=Assumptions!$C$10,"Tier 2",IF($R117&lt;=Assumptions!$C$10,"Tier 3",IF(AND($H117&lt;&gt;"",14*((2*Assumptions!$C$23*(MIN($H117*52/12/$M117,0.95)*(1-MIN($H117*52/12/$M117,0.95))+MIN($H117*52/12/$M117,0.95)*(1+Assumptions!$C$12)*(1-MIN($H117*52/12/$M117,0.95)*(1+Assumptions!$C$12)))/(MIN($H117*52/12/$M117,0.95)*Assumptions!$C$12)^2/Assumptions!$C$14)/($M117*Assumptions!$C$24))^(1/Assumptions!$C$16)/7&lt;=Assumptions!$C$10),"Not a fit — micro-conversion tests only","Not a fit"))))))</f>
        <v/>
      </c>
      <c r="T117" s="18" t="str">
        <f aca="false">IF($S117="","",IF(LEFT($S117,6)="Tier 1","Pursue — trial + fast programme: 5% lifts read in 2–3 weeks",IF($S117="Tier 2","Qualify — bold tests only (10%+ lifts); funnel-wide, 3-week reads",IF($S117="Tier 3","Deprioritise — only exceptional (20%) changes read in 3 weeks",IF($S117="Not a fit","Do not trial A/B — purchase tests cannot read in 3 weeks","Trial only if tests are scored on CTA clicks / leads, not purchases")))))</f>
        <v/>
      </c>
      <c r="U117" s="19" t="str">
        <f aca="false">IF($L117="","",$L117*Assumptions!$C$17*$K117*12/1000000)</f>
        <v/>
      </c>
    </row>
    <row r="118" customFormat="false" ht="15" hidden="false" customHeight="false" outlineLevel="0" collapsed="false">
      <c r="A118" s="14"/>
      <c r="B118" s="14"/>
      <c r="C118" s="15"/>
      <c r="D118" s="15"/>
      <c r="E118" s="16"/>
      <c r="F118" s="16"/>
      <c r="G118" s="17"/>
      <c r="H118" s="15"/>
      <c r="I118" s="14"/>
      <c r="J118" s="18" t="str">
        <f aca="false">IF($C118&lt;&gt;"","Actual orders",IF($E118&lt;&gt;"","Est. from revenue",IF($D118&lt;&gt;"","Est. from traffic × CVR","")))</f>
        <v/>
      </c>
      <c r="K118" s="19" t="n">
        <f aca="false">IF($F118&lt;&gt;"",$F118,IFERROR(INDEX(Assumptions!$D$28:$D$39,MATCH($B118,Assumptions!$B$28:$B$39,0)),Assumptions!$C$19))</f>
        <v>250</v>
      </c>
      <c r="L118" s="20" t="str">
        <f aca="false">IF($C118&lt;&gt;"",$C118/Assumptions!$C$17,IF($E118&lt;&gt;"",$E118*1000000/12/$K118/Assumptions!$C$17,IF($D118&lt;&gt;"",$D118*IF($G118&lt;&gt;"",$G118,IFERROR(INDEX(Assumptions!$C$28:$C$39,MATCH($B118,Assumptions!$B$28:$B$39,0)),Assumptions!$C$18)),"")))</f>
        <v/>
      </c>
      <c r="M118" s="20" t="str">
        <f aca="false">IF($L118="","",IF($D118&lt;&gt;"",$D118,$L118/IF($G118&lt;&gt;"",$G118,IFERROR(INDEX(Assumptions!$C$28:$C$39,MATCH($B118,Assumptions!$B$28:$B$39,0)),Assumptions!$C$18))))</f>
        <v/>
      </c>
      <c r="N118" s="21" t="str">
        <f aca="false">IF($L118="","",MIN($L118/$M118,0.95))</f>
        <v/>
      </c>
      <c r="O118" s="20" t="str">
        <f aca="false">IF($L118="","",$L118*Assumptions!$C$17*12/52)</f>
        <v/>
      </c>
      <c r="P118" s="22" t="str">
        <f aca="false">IF($L118="","",14*((2*Assumptions!$C$23*($N118*(1-$N118)+$N118*(1+Assumptions!$C$11)*(1-$N118*(1+Assumptions!$C$11)))/($N118*Assumptions!$C$11)^2/Assumptions!$C$14)/($M118*Assumptions!$C$24))^(1/Assumptions!$C$16)/7)</f>
        <v/>
      </c>
      <c r="Q118" s="22" t="str">
        <f aca="false">IF($L118="","",14*((2*Assumptions!$C$23*($N118*(1-$N118)+$N118*(1+Assumptions!$C$12)*(1-$N118*(1+Assumptions!$C$12)))/($N118*Assumptions!$C$12)^2/Assumptions!$C$14)/($M118*Assumptions!$C$24))^(1/Assumptions!$C$16)/7)</f>
        <v/>
      </c>
      <c r="R118" s="22" t="str">
        <f aca="false">IF($L118="","",14*((2*Assumptions!$C$23*($N118*(1-$N118)+$N118*(1+Assumptions!$C$13)*(1-$N118*(1+Assumptions!$C$13)))/($N118*Assumptions!$C$13)^2/Assumptions!$C$14)/($M118*Assumptions!$C$24))^(1/Assumptions!$C$16)/7)</f>
        <v/>
      </c>
      <c r="S118" s="23" t="str">
        <f aca="false">IF($L118="","",IF($P118&lt;=Assumptions!$C$9,"Tier 1",IF($P118&lt;=Assumptions!$C$10,"Tier 1 (3-wk)",IF($Q118&lt;=Assumptions!$C$10,"Tier 2",IF($R118&lt;=Assumptions!$C$10,"Tier 3",IF(AND($H118&lt;&gt;"",14*((2*Assumptions!$C$23*(MIN($H118*52/12/$M118,0.95)*(1-MIN($H118*52/12/$M118,0.95))+MIN($H118*52/12/$M118,0.95)*(1+Assumptions!$C$12)*(1-MIN($H118*52/12/$M118,0.95)*(1+Assumptions!$C$12)))/(MIN($H118*52/12/$M118,0.95)*Assumptions!$C$12)^2/Assumptions!$C$14)/($M118*Assumptions!$C$24))^(1/Assumptions!$C$16)/7&lt;=Assumptions!$C$10),"Not a fit — micro-conversion tests only","Not a fit"))))))</f>
        <v/>
      </c>
      <c r="T118" s="18" t="str">
        <f aca="false">IF($S118="","",IF(LEFT($S118,6)="Tier 1","Pursue — trial + fast programme: 5% lifts read in 2–3 weeks",IF($S118="Tier 2","Qualify — bold tests only (10%+ lifts); funnel-wide, 3-week reads",IF($S118="Tier 3","Deprioritise — only exceptional (20%) changes read in 3 weeks",IF($S118="Not a fit","Do not trial A/B — purchase tests cannot read in 3 weeks","Trial only if tests are scored on CTA clicks / leads, not purchases")))))</f>
        <v/>
      </c>
      <c r="U118" s="19" t="str">
        <f aca="false">IF($L118="","",$L118*Assumptions!$C$17*$K118*12/1000000)</f>
        <v/>
      </c>
    </row>
    <row r="119" customFormat="false" ht="15" hidden="false" customHeight="false" outlineLevel="0" collapsed="false">
      <c r="A119" s="14"/>
      <c r="B119" s="14"/>
      <c r="C119" s="15"/>
      <c r="D119" s="15"/>
      <c r="E119" s="16"/>
      <c r="F119" s="16"/>
      <c r="G119" s="17"/>
      <c r="H119" s="15"/>
      <c r="I119" s="14"/>
      <c r="J119" s="18" t="str">
        <f aca="false">IF($C119&lt;&gt;"","Actual orders",IF($E119&lt;&gt;"","Est. from revenue",IF($D119&lt;&gt;"","Est. from traffic × CVR","")))</f>
        <v/>
      </c>
      <c r="K119" s="19" t="n">
        <f aca="false">IF($F119&lt;&gt;"",$F119,IFERROR(INDEX(Assumptions!$D$28:$D$39,MATCH($B119,Assumptions!$B$28:$B$39,0)),Assumptions!$C$19))</f>
        <v>250</v>
      </c>
      <c r="L119" s="20" t="str">
        <f aca="false">IF($C119&lt;&gt;"",$C119/Assumptions!$C$17,IF($E119&lt;&gt;"",$E119*1000000/12/$K119/Assumptions!$C$17,IF($D119&lt;&gt;"",$D119*IF($G119&lt;&gt;"",$G119,IFERROR(INDEX(Assumptions!$C$28:$C$39,MATCH($B119,Assumptions!$B$28:$B$39,0)),Assumptions!$C$18)),"")))</f>
        <v/>
      </c>
      <c r="M119" s="20" t="str">
        <f aca="false">IF($L119="","",IF($D119&lt;&gt;"",$D119,$L119/IF($G119&lt;&gt;"",$G119,IFERROR(INDEX(Assumptions!$C$28:$C$39,MATCH($B119,Assumptions!$B$28:$B$39,0)),Assumptions!$C$18))))</f>
        <v/>
      </c>
      <c r="N119" s="21" t="str">
        <f aca="false">IF($L119="","",MIN($L119/$M119,0.95))</f>
        <v/>
      </c>
      <c r="O119" s="20" t="str">
        <f aca="false">IF($L119="","",$L119*Assumptions!$C$17*12/52)</f>
        <v/>
      </c>
      <c r="P119" s="22" t="str">
        <f aca="false">IF($L119="","",14*((2*Assumptions!$C$23*($N119*(1-$N119)+$N119*(1+Assumptions!$C$11)*(1-$N119*(1+Assumptions!$C$11)))/($N119*Assumptions!$C$11)^2/Assumptions!$C$14)/($M119*Assumptions!$C$24))^(1/Assumptions!$C$16)/7)</f>
        <v/>
      </c>
      <c r="Q119" s="22" t="str">
        <f aca="false">IF($L119="","",14*((2*Assumptions!$C$23*($N119*(1-$N119)+$N119*(1+Assumptions!$C$12)*(1-$N119*(1+Assumptions!$C$12)))/($N119*Assumptions!$C$12)^2/Assumptions!$C$14)/($M119*Assumptions!$C$24))^(1/Assumptions!$C$16)/7)</f>
        <v/>
      </c>
      <c r="R119" s="22" t="str">
        <f aca="false">IF($L119="","",14*((2*Assumptions!$C$23*($N119*(1-$N119)+$N119*(1+Assumptions!$C$13)*(1-$N119*(1+Assumptions!$C$13)))/($N119*Assumptions!$C$13)^2/Assumptions!$C$14)/($M119*Assumptions!$C$24))^(1/Assumptions!$C$16)/7)</f>
        <v/>
      </c>
      <c r="S119" s="23" t="str">
        <f aca="false">IF($L119="","",IF($P119&lt;=Assumptions!$C$9,"Tier 1",IF($P119&lt;=Assumptions!$C$10,"Tier 1 (3-wk)",IF($Q119&lt;=Assumptions!$C$10,"Tier 2",IF($R119&lt;=Assumptions!$C$10,"Tier 3",IF(AND($H119&lt;&gt;"",14*((2*Assumptions!$C$23*(MIN($H119*52/12/$M119,0.95)*(1-MIN($H119*52/12/$M119,0.95))+MIN($H119*52/12/$M119,0.95)*(1+Assumptions!$C$12)*(1-MIN($H119*52/12/$M119,0.95)*(1+Assumptions!$C$12)))/(MIN($H119*52/12/$M119,0.95)*Assumptions!$C$12)^2/Assumptions!$C$14)/($M119*Assumptions!$C$24))^(1/Assumptions!$C$16)/7&lt;=Assumptions!$C$10),"Not a fit — micro-conversion tests only","Not a fit"))))))</f>
        <v/>
      </c>
      <c r="T119" s="18" t="str">
        <f aca="false">IF($S119="","",IF(LEFT($S119,6)="Tier 1","Pursue — trial + fast programme: 5% lifts read in 2–3 weeks",IF($S119="Tier 2","Qualify — bold tests only (10%+ lifts); funnel-wide, 3-week reads",IF($S119="Tier 3","Deprioritise — only exceptional (20%) changes read in 3 weeks",IF($S119="Not a fit","Do not trial A/B — purchase tests cannot read in 3 weeks","Trial only if tests are scored on CTA clicks / leads, not purchases")))))</f>
        <v/>
      </c>
      <c r="U119" s="19" t="str">
        <f aca="false">IF($L119="","",$L119*Assumptions!$C$17*$K119*12/1000000)</f>
        <v/>
      </c>
    </row>
    <row r="120" customFormat="false" ht="15" hidden="false" customHeight="false" outlineLevel="0" collapsed="false">
      <c r="A120" s="14"/>
      <c r="B120" s="14"/>
      <c r="C120" s="15"/>
      <c r="D120" s="15"/>
      <c r="E120" s="16"/>
      <c r="F120" s="16"/>
      <c r="G120" s="17"/>
      <c r="H120" s="15"/>
      <c r="I120" s="14"/>
      <c r="J120" s="18" t="str">
        <f aca="false">IF($C120&lt;&gt;"","Actual orders",IF($E120&lt;&gt;"","Est. from revenue",IF($D120&lt;&gt;"","Est. from traffic × CVR","")))</f>
        <v/>
      </c>
      <c r="K120" s="19" t="n">
        <f aca="false">IF($F120&lt;&gt;"",$F120,IFERROR(INDEX(Assumptions!$D$28:$D$39,MATCH($B120,Assumptions!$B$28:$B$39,0)),Assumptions!$C$19))</f>
        <v>250</v>
      </c>
      <c r="L120" s="20" t="str">
        <f aca="false">IF($C120&lt;&gt;"",$C120/Assumptions!$C$17,IF($E120&lt;&gt;"",$E120*1000000/12/$K120/Assumptions!$C$17,IF($D120&lt;&gt;"",$D120*IF($G120&lt;&gt;"",$G120,IFERROR(INDEX(Assumptions!$C$28:$C$39,MATCH($B120,Assumptions!$B$28:$B$39,0)),Assumptions!$C$18)),"")))</f>
        <v/>
      </c>
      <c r="M120" s="20" t="str">
        <f aca="false">IF($L120="","",IF($D120&lt;&gt;"",$D120,$L120/IF($G120&lt;&gt;"",$G120,IFERROR(INDEX(Assumptions!$C$28:$C$39,MATCH($B120,Assumptions!$B$28:$B$39,0)),Assumptions!$C$18))))</f>
        <v/>
      </c>
      <c r="N120" s="21" t="str">
        <f aca="false">IF($L120="","",MIN($L120/$M120,0.95))</f>
        <v/>
      </c>
      <c r="O120" s="20" t="str">
        <f aca="false">IF($L120="","",$L120*Assumptions!$C$17*12/52)</f>
        <v/>
      </c>
      <c r="P120" s="22" t="str">
        <f aca="false">IF($L120="","",14*((2*Assumptions!$C$23*($N120*(1-$N120)+$N120*(1+Assumptions!$C$11)*(1-$N120*(1+Assumptions!$C$11)))/($N120*Assumptions!$C$11)^2/Assumptions!$C$14)/($M120*Assumptions!$C$24))^(1/Assumptions!$C$16)/7)</f>
        <v/>
      </c>
      <c r="Q120" s="22" t="str">
        <f aca="false">IF($L120="","",14*((2*Assumptions!$C$23*($N120*(1-$N120)+$N120*(1+Assumptions!$C$12)*(1-$N120*(1+Assumptions!$C$12)))/($N120*Assumptions!$C$12)^2/Assumptions!$C$14)/($M120*Assumptions!$C$24))^(1/Assumptions!$C$16)/7)</f>
        <v/>
      </c>
      <c r="R120" s="22" t="str">
        <f aca="false">IF($L120="","",14*((2*Assumptions!$C$23*($N120*(1-$N120)+$N120*(1+Assumptions!$C$13)*(1-$N120*(1+Assumptions!$C$13)))/($N120*Assumptions!$C$13)^2/Assumptions!$C$14)/($M120*Assumptions!$C$24))^(1/Assumptions!$C$16)/7)</f>
        <v/>
      </c>
      <c r="S120" s="23" t="str">
        <f aca="false">IF($L120="","",IF($P120&lt;=Assumptions!$C$9,"Tier 1",IF($P120&lt;=Assumptions!$C$10,"Tier 1 (3-wk)",IF($Q120&lt;=Assumptions!$C$10,"Tier 2",IF($R120&lt;=Assumptions!$C$10,"Tier 3",IF(AND($H120&lt;&gt;"",14*((2*Assumptions!$C$23*(MIN($H120*52/12/$M120,0.95)*(1-MIN($H120*52/12/$M120,0.95))+MIN($H120*52/12/$M120,0.95)*(1+Assumptions!$C$12)*(1-MIN($H120*52/12/$M120,0.95)*(1+Assumptions!$C$12)))/(MIN($H120*52/12/$M120,0.95)*Assumptions!$C$12)^2/Assumptions!$C$14)/($M120*Assumptions!$C$24))^(1/Assumptions!$C$16)/7&lt;=Assumptions!$C$10),"Not a fit — micro-conversion tests only","Not a fit"))))))</f>
        <v/>
      </c>
      <c r="T120" s="18" t="str">
        <f aca="false">IF($S120="","",IF(LEFT($S120,6)="Tier 1","Pursue — trial + fast programme: 5% lifts read in 2–3 weeks",IF($S120="Tier 2","Qualify — bold tests only (10%+ lifts); funnel-wide, 3-week reads",IF($S120="Tier 3","Deprioritise — only exceptional (20%) changes read in 3 weeks",IF($S120="Not a fit","Do not trial A/B — purchase tests cannot read in 3 weeks","Trial only if tests are scored on CTA clicks / leads, not purchases")))))</f>
        <v/>
      </c>
      <c r="U120" s="19" t="str">
        <f aca="false">IF($L120="","",$L120*Assumptions!$C$17*$K120*12/1000000)</f>
        <v/>
      </c>
    </row>
    <row r="121" customFormat="false" ht="15" hidden="false" customHeight="false" outlineLevel="0" collapsed="false">
      <c r="A121" s="14"/>
      <c r="B121" s="14"/>
      <c r="C121" s="15"/>
      <c r="D121" s="15"/>
      <c r="E121" s="16"/>
      <c r="F121" s="16"/>
      <c r="G121" s="17"/>
      <c r="H121" s="15"/>
      <c r="I121" s="14"/>
      <c r="J121" s="18" t="str">
        <f aca="false">IF($C121&lt;&gt;"","Actual orders",IF($E121&lt;&gt;"","Est. from revenue",IF($D121&lt;&gt;"","Est. from traffic × CVR","")))</f>
        <v/>
      </c>
      <c r="K121" s="19" t="n">
        <f aca="false">IF($F121&lt;&gt;"",$F121,IFERROR(INDEX(Assumptions!$D$28:$D$39,MATCH($B121,Assumptions!$B$28:$B$39,0)),Assumptions!$C$19))</f>
        <v>250</v>
      </c>
      <c r="L121" s="20" t="str">
        <f aca="false">IF($C121&lt;&gt;"",$C121/Assumptions!$C$17,IF($E121&lt;&gt;"",$E121*1000000/12/$K121/Assumptions!$C$17,IF($D121&lt;&gt;"",$D121*IF($G121&lt;&gt;"",$G121,IFERROR(INDEX(Assumptions!$C$28:$C$39,MATCH($B121,Assumptions!$B$28:$B$39,0)),Assumptions!$C$18)),"")))</f>
        <v/>
      </c>
      <c r="M121" s="20" t="str">
        <f aca="false">IF($L121="","",IF($D121&lt;&gt;"",$D121,$L121/IF($G121&lt;&gt;"",$G121,IFERROR(INDEX(Assumptions!$C$28:$C$39,MATCH($B121,Assumptions!$B$28:$B$39,0)),Assumptions!$C$18))))</f>
        <v/>
      </c>
      <c r="N121" s="21" t="str">
        <f aca="false">IF($L121="","",MIN($L121/$M121,0.95))</f>
        <v/>
      </c>
      <c r="O121" s="20" t="str">
        <f aca="false">IF($L121="","",$L121*Assumptions!$C$17*12/52)</f>
        <v/>
      </c>
      <c r="P121" s="22" t="str">
        <f aca="false">IF($L121="","",14*((2*Assumptions!$C$23*($N121*(1-$N121)+$N121*(1+Assumptions!$C$11)*(1-$N121*(1+Assumptions!$C$11)))/($N121*Assumptions!$C$11)^2/Assumptions!$C$14)/($M121*Assumptions!$C$24))^(1/Assumptions!$C$16)/7)</f>
        <v/>
      </c>
      <c r="Q121" s="22" t="str">
        <f aca="false">IF($L121="","",14*((2*Assumptions!$C$23*($N121*(1-$N121)+$N121*(1+Assumptions!$C$12)*(1-$N121*(1+Assumptions!$C$12)))/($N121*Assumptions!$C$12)^2/Assumptions!$C$14)/($M121*Assumptions!$C$24))^(1/Assumptions!$C$16)/7)</f>
        <v/>
      </c>
      <c r="R121" s="22" t="str">
        <f aca="false">IF($L121="","",14*((2*Assumptions!$C$23*($N121*(1-$N121)+$N121*(1+Assumptions!$C$13)*(1-$N121*(1+Assumptions!$C$13)))/($N121*Assumptions!$C$13)^2/Assumptions!$C$14)/($M121*Assumptions!$C$24))^(1/Assumptions!$C$16)/7)</f>
        <v/>
      </c>
      <c r="S121" s="23" t="str">
        <f aca="false">IF($L121="","",IF($P121&lt;=Assumptions!$C$9,"Tier 1",IF($P121&lt;=Assumptions!$C$10,"Tier 1 (3-wk)",IF($Q121&lt;=Assumptions!$C$10,"Tier 2",IF($R121&lt;=Assumptions!$C$10,"Tier 3",IF(AND($H121&lt;&gt;"",14*((2*Assumptions!$C$23*(MIN($H121*52/12/$M121,0.95)*(1-MIN($H121*52/12/$M121,0.95))+MIN($H121*52/12/$M121,0.95)*(1+Assumptions!$C$12)*(1-MIN($H121*52/12/$M121,0.95)*(1+Assumptions!$C$12)))/(MIN($H121*52/12/$M121,0.95)*Assumptions!$C$12)^2/Assumptions!$C$14)/($M121*Assumptions!$C$24))^(1/Assumptions!$C$16)/7&lt;=Assumptions!$C$10),"Not a fit — micro-conversion tests only","Not a fit"))))))</f>
        <v/>
      </c>
      <c r="T121" s="18" t="str">
        <f aca="false">IF($S121="","",IF(LEFT($S121,6)="Tier 1","Pursue — trial + fast programme: 5% lifts read in 2–3 weeks",IF($S121="Tier 2","Qualify — bold tests only (10%+ lifts); funnel-wide, 3-week reads",IF($S121="Tier 3","Deprioritise — only exceptional (20%) changes read in 3 weeks",IF($S121="Not a fit","Do not trial A/B — purchase tests cannot read in 3 weeks","Trial only if tests are scored on CTA clicks / leads, not purchases")))))</f>
        <v/>
      </c>
      <c r="U121" s="19" t="str">
        <f aca="false">IF($L121="","",$L121*Assumptions!$C$17*$K121*12/1000000)</f>
        <v/>
      </c>
    </row>
    <row r="122" customFormat="false" ht="15" hidden="false" customHeight="false" outlineLevel="0" collapsed="false">
      <c r="A122" s="14"/>
      <c r="B122" s="14"/>
      <c r="C122" s="15"/>
      <c r="D122" s="15"/>
      <c r="E122" s="16"/>
      <c r="F122" s="16"/>
      <c r="G122" s="17"/>
      <c r="H122" s="15"/>
      <c r="I122" s="14"/>
      <c r="J122" s="18" t="str">
        <f aca="false">IF($C122&lt;&gt;"","Actual orders",IF($E122&lt;&gt;"","Est. from revenue",IF($D122&lt;&gt;"","Est. from traffic × CVR","")))</f>
        <v/>
      </c>
      <c r="K122" s="19" t="n">
        <f aca="false">IF($F122&lt;&gt;"",$F122,IFERROR(INDEX(Assumptions!$D$28:$D$39,MATCH($B122,Assumptions!$B$28:$B$39,0)),Assumptions!$C$19))</f>
        <v>250</v>
      </c>
      <c r="L122" s="20" t="str">
        <f aca="false">IF($C122&lt;&gt;"",$C122/Assumptions!$C$17,IF($E122&lt;&gt;"",$E122*1000000/12/$K122/Assumptions!$C$17,IF($D122&lt;&gt;"",$D122*IF($G122&lt;&gt;"",$G122,IFERROR(INDEX(Assumptions!$C$28:$C$39,MATCH($B122,Assumptions!$B$28:$B$39,0)),Assumptions!$C$18)),"")))</f>
        <v/>
      </c>
      <c r="M122" s="20" t="str">
        <f aca="false">IF($L122="","",IF($D122&lt;&gt;"",$D122,$L122/IF($G122&lt;&gt;"",$G122,IFERROR(INDEX(Assumptions!$C$28:$C$39,MATCH($B122,Assumptions!$B$28:$B$39,0)),Assumptions!$C$18))))</f>
        <v/>
      </c>
      <c r="N122" s="21" t="str">
        <f aca="false">IF($L122="","",MIN($L122/$M122,0.95))</f>
        <v/>
      </c>
      <c r="O122" s="20" t="str">
        <f aca="false">IF($L122="","",$L122*Assumptions!$C$17*12/52)</f>
        <v/>
      </c>
      <c r="P122" s="22" t="str">
        <f aca="false">IF($L122="","",14*((2*Assumptions!$C$23*($N122*(1-$N122)+$N122*(1+Assumptions!$C$11)*(1-$N122*(1+Assumptions!$C$11)))/($N122*Assumptions!$C$11)^2/Assumptions!$C$14)/($M122*Assumptions!$C$24))^(1/Assumptions!$C$16)/7)</f>
        <v/>
      </c>
      <c r="Q122" s="22" t="str">
        <f aca="false">IF($L122="","",14*((2*Assumptions!$C$23*($N122*(1-$N122)+$N122*(1+Assumptions!$C$12)*(1-$N122*(1+Assumptions!$C$12)))/($N122*Assumptions!$C$12)^2/Assumptions!$C$14)/($M122*Assumptions!$C$24))^(1/Assumptions!$C$16)/7)</f>
        <v/>
      </c>
      <c r="R122" s="22" t="str">
        <f aca="false">IF($L122="","",14*((2*Assumptions!$C$23*($N122*(1-$N122)+$N122*(1+Assumptions!$C$13)*(1-$N122*(1+Assumptions!$C$13)))/($N122*Assumptions!$C$13)^2/Assumptions!$C$14)/($M122*Assumptions!$C$24))^(1/Assumptions!$C$16)/7)</f>
        <v/>
      </c>
      <c r="S122" s="23" t="str">
        <f aca="false">IF($L122="","",IF($P122&lt;=Assumptions!$C$9,"Tier 1",IF($P122&lt;=Assumptions!$C$10,"Tier 1 (3-wk)",IF($Q122&lt;=Assumptions!$C$10,"Tier 2",IF($R122&lt;=Assumptions!$C$10,"Tier 3",IF(AND($H122&lt;&gt;"",14*((2*Assumptions!$C$23*(MIN($H122*52/12/$M122,0.95)*(1-MIN($H122*52/12/$M122,0.95))+MIN($H122*52/12/$M122,0.95)*(1+Assumptions!$C$12)*(1-MIN($H122*52/12/$M122,0.95)*(1+Assumptions!$C$12)))/(MIN($H122*52/12/$M122,0.95)*Assumptions!$C$12)^2/Assumptions!$C$14)/($M122*Assumptions!$C$24))^(1/Assumptions!$C$16)/7&lt;=Assumptions!$C$10),"Not a fit — micro-conversion tests only","Not a fit"))))))</f>
        <v/>
      </c>
      <c r="T122" s="18" t="str">
        <f aca="false">IF($S122="","",IF(LEFT($S122,6)="Tier 1","Pursue — trial + fast programme: 5% lifts read in 2–3 weeks",IF($S122="Tier 2","Qualify — bold tests only (10%+ lifts); funnel-wide, 3-week reads",IF($S122="Tier 3","Deprioritise — only exceptional (20%) changes read in 3 weeks",IF($S122="Not a fit","Do not trial A/B — purchase tests cannot read in 3 weeks","Trial only if tests are scored on CTA clicks / leads, not purchases")))))</f>
        <v/>
      </c>
      <c r="U122" s="19" t="str">
        <f aca="false">IF($L122="","",$L122*Assumptions!$C$17*$K122*12/1000000)</f>
        <v/>
      </c>
    </row>
    <row r="123" customFormat="false" ht="15" hidden="false" customHeight="false" outlineLevel="0" collapsed="false">
      <c r="A123" s="14"/>
      <c r="B123" s="14"/>
      <c r="C123" s="15"/>
      <c r="D123" s="15"/>
      <c r="E123" s="16"/>
      <c r="F123" s="16"/>
      <c r="G123" s="17"/>
      <c r="H123" s="15"/>
      <c r="I123" s="14"/>
      <c r="J123" s="18" t="str">
        <f aca="false">IF($C123&lt;&gt;"","Actual orders",IF($E123&lt;&gt;"","Est. from revenue",IF($D123&lt;&gt;"","Est. from traffic × CVR","")))</f>
        <v/>
      </c>
      <c r="K123" s="19" t="n">
        <f aca="false">IF($F123&lt;&gt;"",$F123,IFERROR(INDEX(Assumptions!$D$28:$D$39,MATCH($B123,Assumptions!$B$28:$B$39,0)),Assumptions!$C$19))</f>
        <v>250</v>
      </c>
      <c r="L123" s="20" t="str">
        <f aca="false">IF($C123&lt;&gt;"",$C123/Assumptions!$C$17,IF($E123&lt;&gt;"",$E123*1000000/12/$K123/Assumptions!$C$17,IF($D123&lt;&gt;"",$D123*IF($G123&lt;&gt;"",$G123,IFERROR(INDEX(Assumptions!$C$28:$C$39,MATCH($B123,Assumptions!$B$28:$B$39,0)),Assumptions!$C$18)),"")))</f>
        <v/>
      </c>
      <c r="M123" s="20" t="str">
        <f aca="false">IF($L123="","",IF($D123&lt;&gt;"",$D123,$L123/IF($G123&lt;&gt;"",$G123,IFERROR(INDEX(Assumptions!$C$28:$C$39,MATCH($B123,Assumptions!$B$28:$B$39,0)),Assumptions!$C$18))))</f>
        <v/>
      </c>
      <c r="N123" s="21" t="str">
        <f aca="false">IF($L123="","",MIN($L123/$M123,0.95))</f>
        <v/>
      </c>
      <c r="O123" s="20" t="str">
        <f aca="false">IF($L123="","",$L123*Assumptions!$C$17*12/52)</f>
        <v/>
      </c>
      <c r="P123" s="22" t="str">
        <f aca="false">IF($L123="","",14*((2*Assumptions!$C$23*($N123*(1-$N123)+$N123*(1+Assumptions!$C$11)*(1-$N123*(1+Assumptions!$C$11)))/($N123*Assumptions!$C$11)^2/Assumptions!$C$14)/($M123*Assumptions!$C$24))^(1/Assumptions!$C$16)/7)</f>
        <v/>
      </c>
      <c r="Q123" s="22" t="str">
        <f aca="false">IF($L123="","",14*((2*Assumptions!$C$23*($N123*(1-$N123)+$N123*(1+Assumptions!$C$12)*(1-$N123*(1+Assumptions!$C$12)))/($N123*Assumptions!$C$12)^2/Assumptions!$C$14)/($M123*Assumptions!$C$24))^(1/Assumptions!$C$16)/7)</f>
        <v/>
      </c>
      <c r="R123" s="22" t="str">
        <f aca="false">IF($L123="","",14*((2*Assumptions!$C$23*($N123*(1-$N123)+$N123*(1+Assumptions!$C$13)*(1-$N123*(1+Assumptions!$C$13)))/($N123*Assumptions!$C$13)^2/Assumptions!$C$14)/($M123*Assumptions!$C$24))^(1/Assumptions!$C$16)/7)</f>
        <v/>
      </c>
      <c r="S123" s="23" t="str">
        <f aca="false">IF($L123="","",IF($P123&lt;=Assumptions!$C$9,"Tier 1",IF($P123&lt;=Assumptions!$C$10,"Tier 1 (3-wk)",IF($Q123&lt;=Assumptions!$C$10,"Tier 2",IF($R123&lt;=Assumptions!$C$10,"Tier 3",IF(AND($H123&lt;&gt;"",14*((2*Assumptions!$C$23*(MIN($H123*52/12/$M123,0.95)*(1-MIN($H123*52/12/$M123,0.95))+MIN($H123*52/12/$M123,0.95)*(1+Assumptions!$C$12)*(1-MIN($H123*52/12/$M123,0.95)*(1+Assumptions!$C$12)))/(MIN($H123*52/12/$M123,0.95)*Assumptions!$C$12)^2/Assumptions!$C$14)/($M123*Assumptions!$C$24))^(1/Assumptions!$C$16)/7&lt;=Assumptions!$C$10),"Not a fit — micro-conversion tests only","Not a fit"))))))</f>
        <v/>
      </c>
      <c r="T123" s="18" t="str">
        <f aca="false">IF($S123="","",IF(LEFT($S123,6)="Tier 1","Pursue — trial + fast programme: 5% lifts read in 2–3 weeks",IF($S123="Tier 2","Qualify — bold tests only (10%+ lifts); funnel-wide, 3-week reads",IF($S123="Tier 3","Deprioritise — only exceptional (20%) changes read in 3 weeks",IF($S123="Not a fit","Do not trial A/B — purchase tests cannot read in 3 weeks","Trial only if tests are scored on CTA clicks / leads, not purchases")))))</f>
        <v/>
      </c>
      <c r="U123" s="19" t="str">
        <f aca="false">IF($L123="","",$L123*Assumptions!$C$17*$K123*12/1000000)</f>
        <v/>
      </c>
    </row>
    <row r="124" customFormat="false" ht="15" hidden="false" customHeight="false" outlineLevel="0" collapsed="false">
      <c r="A124" s="14"/>
      <c r="B124" s="14"/>
      <c r="C124" s="15"/>
      <c r="D124" s="15"/>
      <c r="E124" s="16"/>
      <c r="F124" s="16"/>
      <c r="G124" s="17"/>
      <c r="H124" s="15"/>
      <c r="I124" s="14"/>
      <c r="J124" s="18" t="str">
        <f aca="false">IF($C124&lt;&gt;"","Actual orders",IF($E124&lt;&gt;"","Est. from revenue",IF($D124&lt;&gt;"","Est. from traffic × CVR","")))</f>
        <v/>
      </c>
      <c r="K124" s="19" t="n">
        <f aca="false">IF($F124&lt;&gt;"",$F124,IFERROR(INDEX(Assumptions!$D$28:$D$39,MATCH($B124,Assumptions!$B$28:$B$39,0)),Assumptions!$C$19))</f>
        <v>250</v>
      </c>
      <c r="L124" s="20" t="str">
        <f aca="false">IF($C124&lt;&gt;"",$C124/Assumptions!$C$17,IF($E124&lt;&gt;"",$E124*1000000/12/$K124/Assumptions!$C$17,IF($D124&lt;&gt;"",$D124*IF($G124&lt;&gt;"",$G124,IFERROR(INDEX(Assumptions!$C$28:$C$39,MATCH($B124,Assumptions!$B$28:$B$39,0)),Assumptions!$C$18)),"")))</f>
        <v/>
      </c>
      <c r="M124" s="20" t="str">
        <f aca="false">IF($L124="","",IF($D124&lt;&gt;"",$D124,$L124/IF($G124&lt;&gt;"",$G124,IFERROR(INDEX(Assumptions!$C$28:$C$39,MATCH($B124,Assumptions!$B$28:$B$39,0)),Assumptions!$C$18))))</f>
        <v/>
      </c>
      <c r="N124" s="21" t="str">
        <f aca="false">IF($L124="","",MIN($L124/$M124,0.95))</f>
        <v/>
      </c>
      <c r="O124" s="20" t="str">
        <f aca="false">IF($L124="","",$L124*Assumptions!$C$17*12/52)</f>
        <v/>
      </c>
      <c r="P124" s="22" t="str">
        <f aca="false">IF($L124="","",14*((2*Assumptions!$C$23*($N124*(1-$N124)+$N124*(1+Assumptions!$C$11)*(1-$N124*(1+Assumptions!$C$11)))/($N124*Assumptions!$C$11)^2/Assumptions!$C$14)/($M124*Assumptions!$C$24))^(1/Assumptions!$C$16)/7)</f>
        <v/>
      </c>
      <c r="Q124" s="22" t="str">
        <f aca="false">IF($L124="","",14*((2*Assumptions!$C$23*($N124*(1-$N124)+$N124*(1+Assumptions!$C$12)*(1-$N124*(1+Assumptions!$C$12)))/($N124*Assumptions!$C$12)^2/Assumptions!$C$14)/($M124*Assumptions!$C$24))^(1/Assumptions!$C$16)/7)</f>
        <v/>
      </c>
      <c r="R124" s="22" t="str">
        <f aca="false">IF($L124="","",14*((2*Assumptions!$C$23*($N124*(1-$N124)+$N124*(1+Assumptions!$C$13)*(1-$N124*(1+Assumptions!$C$13)))/($N124*Assumptions!$C$13)^2/Assumptions!$C$14)/($M124*Assumptions!$C$24))^(1/Assumptions!$C$16)/7)</f>
        <v/>
      </c>
      <c r="S124" s="23" t="str">
        <f aca="false">IF($L124="","",IF($P124&lt;=Assumptions!$C$9,"Tier 1",IF($P124&lt;=Assumptions!$C$10,"Tier 1 (3-wk)",IF($Q124&lt;=Assumptions!$C$10,"Tier 2",IF($R124&lt;=Assumptions!$C$10,"Tier 3",IF(AND($H124&lt;&gt;"",14*((2*Assumptions!$C$23*(MIN($H124*52/12/$M124,0.95)*(1-MIN($H124*52/12/$M124,0.95))+MIN($H124*52/12/$M124,0.95)*(1+Assumptions!$C$12)*(1-MIN($H124*52/12/$M124,0.95)*(1+Assumptions!$C$12)))/(MIN($H124*52/12/$M124,0.95)*Assumptions!$C$12)^2/Assumptions!$C$14)/($M124*Assumptions!$C$24))^(1/Assumptions!$C$16)/7&lt;=Assumptions!$C$10),"Not a fit — micro-conversion tests only","Not a fit"))))))</f>
        <v/>
      </c>
      <c r="T124" s="18" t="str">
        <f aca="false">IF($S124="","",IF(LEFT($S124,6)="Tier 1","Pursue — trial + fast programme: 5% lifts read in 2–3 weeks",IF($S124="Tier 2","Qualify — bold tests only (10%+ lifts); funnel-wide, 3-week reads",IF($S124="Tier 3","Deprioritise — only exceptional (20%) changes read in 3 weeks",IF($S124="Not a fit","Do not trial A/B — purchase tests cannot read in 3 weeks","Trial only if tests are scored on CTA clicks / leads, not purchases")))))</f>
        <v/>
      </c>
      <c r="U124" s="19" t="str">
        <f aca="false">IF($L124="","",$L124*Assumptions!$C$17*$K124*12/1000000)</f>
        <v/>
      </c>
    </row>
    <row r="125" customFormat="false" ht="15" hidden="false" customHeight="false" outlineLevel="0" collapsed="false">
      <c r="A125" s="14"/>
      <c r="B125" s="14"/>
      <c r="C125" s="15"/>
      <c r="D125" s="15"/>
      <c r="E125" s="16"/>
      <c r="F125" s="16"/>
      <c r="G125" s="17"/>
      <c r="H125" s="15"/>
      <c r="I125" s="14"/>
      <c r="J125" s="18" t="str">
        <f aca="false">IF($C125&lt;&gt;"","Actual orders",IF($E125&lt;&gt;"","Est. from revenue",IF($D125&lt;&gt;"","Est. from traffic × CVR","")))</f>
        <v/>
      </c>
      <c r="K125" s="19" t="n">
        <f aca="false">IF($F125&lt;&gt;"",$F125,IFERROR(INDEX(Assumptions!$D$28:$D$39,MATCH($B125,Assumptions!$B$28:$B$39,0)),Assumptions!$C$19))</f>
        <v>250</v>
      </c>
      <c r="L125" s="20" t="str">
        <f aca="false">IF($C125&lt;&gt;"",$C125/Assumptions!$C$17,IF($E125&lt;&gt;"",$E125*1000000/12/$K125/Assumptions!$C$17,IF($D125&lt;&gt;"",$D125*IF($G125&lt;&gt;"",$G125,IFERROR(INDEX(Assumptions!$C$28:$C$39,MATCH($B125,Assumptions!$B$28:$B$39,0)),Assumptions!$C$18)),"")))</f>
        <v/>
      </c>
      <c r="M125" s="20" t="str">
        <f aca="false">IF($L125="","",IF($D125&lt;&gt;"",$D125,$L125/IF($G125&lt;&gt;"",$G125,IFERROR(INDEX(Assumptions!$C$28:$C$39,MATCH($B125,Assumptions!$B$28:$B$39,0)),Assumptions!$C$18))))</f>
        <v/>
      </c>
      <c r="N125" s="21" t="str">
        <f aca="false">IF($L125="","",MIN($L125/$M125,0.95))</f>
        <v/>
      </c>
      <c r="O125" s="20" t="str">
        <f aca="false">IF($L125="","",$L125*Assumptions!$C$17*12/52)</f>
        <v/>
      </c>
      <c r="P125" s="22" t="str">
        <f aca="false">IF($L125="","",14*((2*Assumptions!$C$23*($N125*(1-$N125)+$N125*(1+Assumptions!$C$11)*(1-$N125*(1+Assumptions!$C$11)))/($N125*Assumptions!$C$11)^2/Assumptions!$C$14)/($M125*Assumptions!$C$24))^(1/Assumptions!$C$16)/7)</f>
        <v/>
      </c>
      <c r="Q125" s="22" t="str">
        <f aca="false">IF($L125="","",14*((2*Assumptions!$C$23*($N125*(1-$N125)+$N125*(1+Assumptions!$C$12)*(1-$N125*(1+Assumptions!$C$12)))/($N125*Assumptions!$C$12)^2/Assumptions!$C$14)/($M125*Assumptions!$C$24))^(1/Assumptions!$C$16)/7)</f>
        <v/>
      </c>
      <c r="R125" s="22" t="str">
        <f aca="false">IF($L125="","",14*((2*Assumptions!$C$23*($N125*(1-$N125)+$N125*(1+Assumptions!$C$13)*(1-$N125*(1+Assumptions!$C$13)))/($N125*Assumptions!$C$13)^2/Assumptions!$C$14)/($M125*Assumptions!$C$24))^(1/Assumptions!$C$16)/7)</f>
        <v/>
      </c>
      <c r="S125" s="23" t="str">
        <f aca="false">IF($L125="","",IF($P125&lt;=Assumptions!$C$9,"Tier 1",IF($P125&lt;=Assumptions!$C$10,"Tier 1 (3-wk)",IF($Q125&lt;=Assumptions!$C$10,"Tier 2",IF($R125&lt;=Assumptions!$C$10,"Tier 3",IF(AND($H125&lt;&gt;"",14*((2*Assumptions!$C$23*(MIN($H125*52/12/$M125,0.95)*(1-MIN($H125*52/12/$M125,0.95))+MIN($H125*52/12/$M125,0.95)*(1+Assumptions!$C$12)*(1-MIN($H125*52/12/$M125,0.95)*(1+Assumptions!$C$12)))/(MIN($H125*52/12/$M125,0.95)*Assumptions!$C$12)^2/Assumptions!$C$14)/($M125*Assumptions!$C$24))^(1/Assumptions!$C$16)/7&lt;=Assumptions!$C$10),"Not a fit — micro-conversion tests only","Not a fit"))))))</f>
        <v/>
      </c>
      <c r="T125" s="18" t="str">
        <f aca="false">IF($S125="","",IF(LEFT($S125,6)="Tier 1","Pursue — trial + fast programme: 5% lifts read in 2–3 weeks",IF($S125="Tier 2","Qualify — bold tests only (10%+ lifts); funnel-wide, 3-week reads",IF($S125="Tier 3","Deprioritise — only exceptional (20%) changes read in 3 weeks",IF($S125="Not a fit","Do not trial A/B — purchase tests cannot read in 3 weeks","Trial only if tests are scored on CTA clicks / leads, not purchases")))))</f>
        <v/>
      </c>
      <c r="U125" s="19" t="str">
        <f aca="false">IF($L125="","",$L125*Assumptions!$C$17*$K125*12/1000000)</f>
        <v/>
      </c>
    </row>
    <row r="126" customFormat="false" ht="15" hidden="false" customHeight="false" outlineLevel="0" collapsed="false">
      <c r="A126" s="14"/>
      <c r="B126" s="14"/>
      <c r="C126" s="15"/>
      <c r="D126" s="15"/>
      <c r="E126" s="16"/>
      <c r="F126" s="16"/>
      <c r="G126" s="17"/>
      <c r="H126" s="15"/>
      <c r="I126" s="14"/>
      <c r="J126" s="18" t="str">
        <f aca="false">IF($C126&lt;&gt;"","Actual orders",IF($E126&lt;&gt;"","Est. from revenue",IF($D126&lt;&gt;"","Est. from traffic × CVR","")))</f>
        <v/>
      </c>
      <c r="K126" s="19" t="n">
        <f aca="false">IF($F126&lt;&gt;"",$F126,IFERROR(INDEX(Assumptions!$D$28:$D$39,MATCH($B126,Assumptions!$B$28:$B$39,0)),Assumptions!$C$19))</f>
        <v>250</v>
      </c>
      <c r="L126" s="20" t="str">
        <f aca="false">IF($C126&lt;&gt;"",$C126/Assumptions!$C$17,IF($E126&lt;&gt;"",$E126*1000000/12/$K126/Assumptions!$C$17,IF($D126&lt;&gt;"",$D126*IF($G126&lt;&gt;"",$G126,IFERROR(INDEX(Assumptions!$C$28:$C$39,MATCH($B126,Assumptions!$B$28:$B$39,0)),Assumptions!$C$18)),"")))</f>
        <v/>
      </c>
      <c r="M126" s="20" t="str">
        <f aca="false">IF($L126="","",IF($D126&lt;&gt;"",$D126,$L126/IF($G126&lt;&gt;"",$G126,IFERROR(INDEX(Assumptions!$C$28:$C$39,MATCH($B126,Assumptions!$B$28:$B$39,0)),Assumptions!$C$18))))</f>
        <v/>
      </c>
      <c r="N126" s="21" t="str">
        <f aca="false">IF($L126="","",MIN($L126/$M126,0.95))</f>
        <v/>
      </c>
      <c r="O126" s="20" t="str">
        <f aca="false">IF($L126="","",$L126*Assumptions!$C$17*12/52)</f>
        <v/>
      </c>
      <c r="P126" s="22" t="str">
        <f aca="false">IF($L126="","",14*((2*Assumptions!$C$23*($N126*(1-$N126)+$N126*(1+Assumptions!$C$11)*(1-$N126*(1+Assumptions!$C$11)))/($N126*Assumptions!$C$11)^2/Assumptions!$C$14)/($M126*Assumptions!$C$24))^(1/Assumptions!$C$16)/7)</f>
        <v/>
      </c>
      <c r="Q126" s="22" t="str">
        <f aca="false">IF($L126="","",14*((2*Assumptions!$C$23*($N126*(1-$N126)+$N126*(1+Assumptions!$C$12)*(1-$N126*(1+Assumptions!$C$12)))/($N126*Assumptions!$C$12)^2/Assumptions!$C$14)/($M126*Assumptions!$C$24))^(1/Assumptions!$C$16)/7)</f>
        <v/>
      </c>
      <c r="R126" s="22" t="str">
        <f aca="false">IF($L126="","",14*((2*Assumptions!$C$23*($N126*(1-$N126)+$N126*(1+Assumptions!$C$13)*(1-$N126*(1+Assumptions!$C$13)))/($N126*Assumptions!$C$13)^2/Assumptions!$C$14)/($M126*Assumptions!$C$24))^(1/Assumptions!$C$16)/7)</f>
        <v/>
      </c>
      <c r="S126" s="23" t="str">
        <f aca="false">IF($L126="","",IF($P126&lt;=Assumptions!$C$9,"Tier 1",IF($P126&lt;=Assumptions!$C$10,"Tier 1 (3-wk)",IF($Q126&lt;=Assumptions!$C$10,"Tier 2",IF($R126&lt;=Assumptions!$C$10,"Tier 3",IF(AND($H126&lt;&gt;"",14*((2*Assumptions!$C$23*(MIN($H126*52/12/$M126,0.95)*(1-MIN($H126*52/12/$M126,0.95))+MIN($H126*52/12/$M126,0.95)*(1+Assumptions!$C$12)*(1-MIN($H126*52/12/$M126,0.95)*(1+Assumptions!$C$12)))/(MIN($H126*52/12/$M126,0.95)*Assumptions!$C$12)^2/Assumptions!$C$14)/($M126*Assumptions!$C$24))^(1/Assumptions!$C$16)/7&lt;=Assumptions!$C$10),"Not a fit — micro-conversion tests only","Not a fit"))))))</f>
        <v/>
      </c>
      <c r="T126" s="18" t="str">
        <f aca="false">IF($S126="","",IF(LEFT($S126,6)="Tier 1","Pursue — trial + fast programme: 5% lifts read in 2–3 weeks",IF($S126="Tier 2","Qualify — bold tests only (10%+ lifts); funnel-wide, 3-week reads",IF($S126="Tier 3","Deprioritise — only exceptional (20%) changes read in 3 weeks",IF($S126="Not a fit","Do not trial A/B — purchase tests cannot read in 3 weeks","Trial only if tests are scored on CTA clicks / leads, not purchases")))))</f>
        <v/>
      </c>
      <c r="U126" s="19" t="str">
        <f aca="false">IF($L126="","",$L126*Assumptions!$C$17*$K126*12/1000000)</f>
        <v/>
      </c>
    </row>
    <row r="127" customFormat="false" ht="15" hidden="false" customHeight="false" outlineLevel="0" collapsed="false">
      <c r="A127" s="14"/>
      <c r="B127" s="14"/>
      <c r="C127" s="15"/>
      <c r="D127" s="15"/>
      <c r="E127" s="16"/>
      <c r="F127" s="16"/>
      <c r="G127" s="17"/>
      <c r="H127" s="15"/>
      <c r="I127" s="14"/>
      <c r="J127" s="18" t="str">
        <f aca="false">IF($C127&lt;&gt;"","Actual orders",IF($E127&lt;&gt;"","Est. from revenue",IF($D127&lt;&gt;"","Est. from traffic × CVR","")))</f>
        <v/>
      </c>
      <c r="K127" s="19" t="n">
        <f aca="false">IF($F127&lt;&gt;"",$F127,IFERROR(INDEX(Assumptions!$D$28:$D$39,MATCH($B127,Assumptions!$B$28:$B$39,0)),Assumptions!$C$19))</f>
        <v>250</v>
      </c>
      <c r="L127" s="20" t="str">
        <f aca="false">IF($C127&lt;&gt;"",$C127/Assumptions!$C$17,IF($E127&lt;&gt;"",$E127*1000000/12/$K127/Assumptions!$C$17,IF($D127&lt;&gt;"",$D127*IF($G127&lt;&gt;"",$G127,IFERROR(INDEX(Assumptions!$C$28:$C$39,MATCH($B127,Assumptions!$B$28:$B$39,0)),Assumptions!$C$18)),"")))</f>
        <v/>
      </c>
      <c r="M127" s="20" t="str">
        <f aca="false">IF($L127="","",IF($D127&lt;&gt;"",$D127,$L127/IF($G127&lt;&gt;"",$G127,IFERROR(INDEX(Assumptions!$C$28:$C$39,MATCH($B127,Assumptions!$B$28:$B$39,0)),Assumptions!$C$18))))</f>
        <v/>
      </c>
      <c r="N127" s="21" t="str">
        <f aca="false">IF($L127="","",MIN($L127/$M127,0.95))</f>
        <v/>
      </c>
      <c r="O127" s="20" t="str">
        <f aca="false">IF($L127="","",$L127*Assumptions!$C$17*12/52)</f>
        <v/>
      </c>
      <c r="P127" s="22" t="str">
        <f aca="false">IF($L127="","",14*((2*Assumptions!$C$23*($N127*(1-$N127)+$N127*(1+Assumptions!$C$11)*(1-$N127*(1+Assumptions!$C$11)))/($N127*Assumptions!$C$11)^2/Assumptions!$C$14)/($M127*Assumptions!$C$24))^(1/Assumptions!$C$16)/7)</f>
        <v/>
      </c>
      <c r="Q127" s="22" t="str">
        <f aca="false">IF($L127="","",14*((2*Assumptions!$C$23*($N127*(1-$N127)+$N127*(1+Assumptions!$C$12)*(1-$N127*(1+Assumptions!$C$12)))/($N127*Assumptions!$C$12)^2/Assumptions!$C$14)/($M127*Assumptions!$C$24))^(1/Assumptions!$C$16)/7)</f>
        <v/>
      </c>
      <c r="R127" s="22" t="str">
        <f aca="false">IF($L127="","",14*((2*Assumptions!$C$23*($N127*(1-$N127)+$N127*(1+Assumptions!$C$13)*(1-$N127*(1+Assumptions!$C$13)))/($N127*Assumptions!$C$13)^2/Assumptions!$C$14)/($M127*Assumptions!$C$24))^(1/Assumptions!$C$16)/7)</f>
        <v/>
      </c>
      <c r="S127" s="23" t="str">
        <f aca="false">IF($L127="","",IF($P127&lt;=Assumptions!$C$9,"Tier 1",IF($P127&lt;=Assumptions!$C$10,"Tier 1 (3-wk)",IF($Q127&lt;=Assumptions!$C$10,"Tier 2",IF($R127&lt;=Assumptions!$C$10,"Tier 3",IF(AND($H127&lt;&gt;"",14*((2*Assumptions!$C$23*(MIN($H127*52/12/$M127,0.95)*(1-MIN($H127*52/12/$M127,0.95))+MIN($H127*52/12/$M127,0.95)*(1+Assumptions!$C$12)*(1-MIN($H127*52/12/$M127,0.95)*(1+Assumptions!$C$12)))/(MIN($H127*52/12/$M127,0.95)*Assumptions!$C$12)^2/Assumptions!$C$14)/($M127*Assumptions!$C$24))^(1/Assumptions!$C$16)/7&lt;=Assumptions!$C$10),"Not a fit — micro-conversion tests only","Not a fit"))))))</f>
        <v/>
      </c>
      <c r="T127" s="18" t="str">
        <f aca="false">IF($S127="","",IF(LEFT($S127,6)="Tier 1","Pursue — trial + fast programme: 5% lifts read in 2–3 weeks",IF($S127="Tier 2","Qualify — bold tests only (10%+ lifts); funnel-wide, 3-week reads",IF($S127="Tier 3","Deprioritise — only exceptional (20%) changes read in 3 weeks",IF($S127="Not a fit","Do not trial A/B — purchase tests cannot read in 3 weeks","Trial only if tests are scored on CTA clicks / leads, not purchases")))))</f>
        <v/>
      </c>
      <c r="U127" s="19" t="str">
        <f aca="false">IF($L127="","",$L127*Assumptions!$C$17*$K127*12/1000000)</f>
        <v/>
      </c>
    </row>
    <row r="128" customFormat="false" ht="15" hidden="false" customHeight="false" outlineLevel="0" collapsed="false">
      <c r="A128" s="14"/>
      <c r="B128" s="14"/>
      <c r="C128" s="15"/>
      <c r="D128" s="15"/>
      <c r="E128" s="16"/>
      <c r="F128" s="16"/>
      <c r="G128" s="17"/>
      <c r="H128" s="15"/>
      <c r="I128" s="14"/>
      <c r="J128" s="18" t="str">
        <f aca="false">IF($C128&lt;&gt;"","Actual orders",IF($E128&lt;&gt;"","Est. from revenue",IF($D128&lt;&gt;"","Est. from traffic × CVR","")))</f>
        <v/>
      </c>
      <c r="K128" s="19" t="n">
        <f aca="false">IF($F128&lt;&gt;"",$F128,IFERROR(INDEX(Assumptions!$D$28:$D$39,MATCH($B128,Assumptions!$B$28:$B$39,0)),Assumptions!$C$19))</f>
        <v>250</v>
      </c>
      <c r="L128" s="20" t="str">
        <f aca="false">IF($C128&lt;&gt;"",$C128/Assumptions!$C$17,IF($E128&lt;&gt;"",$E128*1000000/12/$K128/Assumptions!$C$17,IF($D128&lt;&gt;"",$D128*IF($G128&lt;&gt;"",$G128,IFERROR(INDEX(Assumptions!$C$28:$C$39,MATCH($B128,Assumptions!$B$28:$B$39,0)),Assumptions!$C$18)),"")))</f>
        <v/>
      </c>
      <c r="M128" s="20" t="str">
        <f aca="false">IF($L128="","",IF($D128&lt;&gt;"",$D128,$L128/IF($G128&lt;&gt;"",$G128,IFERROR(INDEX(Assumptions!$C$28:$C$39,MATCH($B128,Assumptions!$B$28:$B$39,0)),Assumptions!$C$18))))</f>
        <v/>
      </c>
      <c r="N128" s="21" t="str">
        <f aca="false">IF($L128="","",MIN($L128/$M128,0.95))</f>
        <v/>
      </c>
      <c r="O128" s="20" t="str">
        <f aca="false">IF($L128="","",$L128*Assumptions!$C$17*12/52)</f>
        <v/>
      </c>
      <c r="P128" s="22" t="str">
        <f aca="false">IF($L128="","",14*((2*Assumptions!$C$23*($N128*(1-$N128)+$N128*(1+Assumptions!$C$11)*(1-$N128*(1+Assumptions!$C$11)))/($N128*Assumptions!$C$11)^2/Assumptions!$C$14)/($M128*Assumptions!$C$24))^(1/Assumptions!$C$16)/7)</f>
        <v/>
      </c>
      <c r="Q128" s="22" t="str">
        <f aca="false">IF($L128="","",14*((2*Assumptions!$C$23*($N128*(1-$N128)+$N128*(1+Assumptions!$C$12)*(1-$N128*(1+Assumptions!$C$12)))/($N128*Assumptions!$C$12)^2/Assumptions!$C$14)/($M128*Assumptions!$C$24))^(1/Assumptions!$C$16)/7)</f>
        <v/>
      </c>
      <c r="R128" s="22" t="str">
        <f aca="false">IF($L128="","",14*((2*Assumptions!$C$23*($N128*(1-$N128)+$N128*(1+Assumptions!$C$13)*(1-$N128*(1+Assumptions!$C$13)))/($N128*Assumptions!$C$13)^2/Assumptions!$C$14)/($M128*Assumptions!$C$24))^(1/Assumptions!$C$16)/7)</f>
        <v/>
      </c>
      <c r="S128" s="23" t="str">
        <f aca="false">IF($L128="","",IF($P128&lt;=Assumptions!$C$9,"Tier 1",IF($P128&lt;=Assumptions!$C$10,"Tier 1 (3-wk)",IF($Q128&lt;=Assumptions!$C$10,"Tier 2",IF($R128&lt;=Assumptions!$C$10,"Tier 3",IF(AND($H128&lt;&gt;"",14*((2*Assumptions!$C$23*(MIN($H128*52/12/$M128,0.95)*(1-MIN($H128*52/12/$M128,0.95))+MIN($H128*52/12/$M128,0.95)*(1+Assumptions!$C$12)*(1-MIN($H128*52/12/$M128,0.95)*(1+Assumptions!$C$12)))/(MIN($H128*52/12/$M128,0.95)*Assumptions!$C$12)^2/Assumptions!$C$14)/($M128*Assumptions!$C$24))^(1/Assumptions!$C$16)/7&lt;=Assumptions!$C$10),"Not a fit — micro-conversion tests only","Not a fit"))))))</f>
        <v/>
      </c>
      <c r="T128" s="18" t="str">
        <f aca="false">IF($S128="","",IF(LEFT($S128,6)="Tier 1","Pursue — trial + fast programme: 5% lifts read in 2–3 weeks",IF($S128="Tier 2","Qualify — bold tests only (10%+ lifts); funnel-wide, 3-week reads",IF($S128="Tier 3","Deprioritise — only exceptional (20%) changes read in 3 weeks",IF($S128="Not a fit","Do not trial A/B — purchase tests cannot read in 3 weeks","Trial only if tests are scored on CTA clicks / leads, not purchases")))))</f>
        <v/>
      </c>
      <c r="U128" s="19" t="str">
        <f aca="false">IF($L128="","",$L128*Assumptions!$C$17*$K128*12/1000000)</f>
        <v/>
      </c>
    </row>
    <row r="129" customFormat="false" ht="15" hidden="false" customHeight="false" outlineLevel="0" collapsed="false">
      <c r="A129" s="14"/>
      <c r="B129" s="14"/>
      <c r="C129" s="15"/>
      <c r="D129" s="15"/>
      <c r="E129" s="16"/>
      <c r="F129" s="16"/>
      <c r="G129" s="17"/>
      <c r="H129" s="15"/>
      <c r="I129" s="14"/>
      <c r="J129" s="18" t="str">
        <f aca="false">IF($C129&lt;&gt;"","Actual orders",IF($E129&lt;&gt;"","Est. from revenue",IF($D129&lt;&gt;"","Est. from traffic × CVR","")))</f>
        <v/>
      </c>
      <c r="K129" s="19" t="n">
        <f aca="false">IF($F129&lt;&gt;"",$F129,IFERROR(INDEX(Assumptions!$D$28:$D$39,MATCH($B129,Assumptions!$B$28:$B$39,0)),Assumptions!$C$19))</f>
        <v>250</v>
      </c>
      <c r="L129" s="20" t="str">
        <f aca="false">IF($C129&lt;&gt;"",$C129/Assumptions!$C$17,IF($E129&lt;&gt;"",$E129*1000000/12/$K129/Assumptions!$C$17,IF($D129&lt;&gt;"",$D129*IF($G129&lt;&gt;"",$G129,IFERROR(INDEX(Assumptions!$C$28:$C$39,MATCH($B129,Assumptions!$B$28:$B$39,0)),Assumptions!$C$18)),"")))</f>
        <v/>
      </c>
      <c r="M129" s="20" t="str">
        <f aca="false">IF($L129="","",IF($D129&lt;&gt;"",$D129,$L129/IF($G129&lt;&gt;"",$G129,IFERROR(INDEX(Assumptions!$C$28:$C$39,MATCH($B129,Assumptions!$B$28:$B$39,0)),Assumptions!$C$18))))</f>
        <v/>
      </c>
      <c r="N129" s="21" t="str">
        <f aca="false">IF($L129="","",MIN($L129/$M129,0.95))</f>
        <v/>
      </c>
      <c r="O129" s="20" t="str">
        <f aca="false">IF($L129="","",$L129*Assumptions!$C$17*12/52)</f>
        <v/>
      </c>
      <c r="P129" s="22" t="str">
        <f aca="false">IF($L129="","",14*((2*Assumptions!$C$23*($N129*(1-$N129)+$N129*(1+Assumptions!$C$11)*(1-$N129*(1+Assumptions!$C$11)))/($N129*Assumptions!$C$11)^2/Assumptions!$C$14)/($M129*Assumptions!$C$24))^(1/Assumptions!$C$16)/7)</f>
        <v/>
      </c>
      <c r="Q129" s="22" t="str">
        <f aca="false">IF($L129="","",14*((2*Assumptions!$C$23*($N129*(1-$N129)+$N129*(1+Assumptions!$C$12)*(1-$N129*(1+Assumptions!$C$12)))/($N129*Assumptions!$C$12)^2/Assumptions!$C$14)/($M129*Assumptions!$C$24))^(1/Assumptions!$C$16)/7)</f>
        <v/>
      </c>
      <c r="R129" s="22" t="str">
        <f aca="false">IF($L129="","",14*((2*Assumptions!$C$23*($N129*(1-$N129)+$N129*(1+Assumptions!$C$13)*(1-$N129*(1+Assumptions!$C$13)))/($N129*Assumptions!$C$13)^2/Assumptions!$C$14)/($M129*Assumptions!$C$24))^(1/Assumptions!$C$16)/7)</f>
        <v/>
      </c>
      <c r="S129" s="23" t="str">
        <f aca="false">IF($L129="","",IF($P129&lt;=Assumptions!$C$9,"Tier 1",IF($P129&lt;=Assumptions!$C$10,"Tier 1 (3-wk)",IF($Q129&lt;=Assumptions!$C$10,"Tier 2",IF($R129&lt;=Assumptions!$C$10,"Tier 3",IF(AND($H129&lt;&gt;"",14*((2*Assumptions!$C$23*(MIN($H129*52/12/$M129,0.95)*(1-MIN($H129*52/12/$M129,0.95))+MIN($H129*52/12/$M129,0.95)*(1+Assumptions!$C$12)*(1-MIN($H129*52/12/$M129,0.95)*(1+Assumptions!$C$12)))/(MIN($H129*52/12/$M129,0.95)*Assumptions!$C$12)^2/Assumptions!$C$14)/($M129*Assumptions!$C$24))^(1/Assumptions!$C$16)/7&lt;=Assumptions!$C$10),"Not a fit — micro-conversion tests only","Not a fit"))))))</f>
        <v/>
      </c>
      <c r="T129" s="18" t="str">
        <f aca="false">IF($S129="","",IF(LEFT($S129,6)="Tier 1","Pursue — trial + fast programme: 5% lifts read in 2–3 weeks",IF($S129="Tier 2","Qualify — bold tests only (10%+ lifts); funnel-wide, 3-week reads",IF($S129="Tier 3","Deprioritise — only exceptional (20%) changes read in 3 weeks",IF($S129="Not a fit","Do not trial A/B — purchase tests cannot read in 3 weeks","Trial only if tests are scored on CTA clicks / leads, not purchases")))))</f>
        <v/>
      </c>
      <c r="U129" s="19" t="str">
        <f aca="false">IF($L129="","",$L129*Assumptions!$C$17*$K129*12/1000000)</f>
        <v/>
      </c>
    </row>
    <row r="130" customFormat="false" ht="15" hidden="false" customHeight="false" outlineLevel="0" collapsed="false">
      <c r="A130" s="14"/>
      <c r="B130" s="14"/>
      <c r="C130" s="15"/>
      <c r="D130" s="15"/>
      <c r="E130" s="16"/>
      <c r="F130" s="16"/>
      <c r="G130" s="17"/>
      <c r="H130" s="15"/>
      <c r="I130" s="14"/>
      <c r="J130" s="18" t="str">
        <f aca="false">IF($C130&lt;&gt;"","Actual orders",IF($E130&lt;&gt;"","Est. from revenue",IF($D130&lt;&gt;"","Est. from traffic × CVR","")))</f>
        <v/>
      </c>
      <c r="K130" s="19" t="n">
        <f aca="false">IF($F130&lt;&gt;"",$F130,IFERROR(INDEX(Assumptions!$D$28:$D$39,MATCH($B130,Assumptions!$B$28:$B$39,0)),Assumptions!$C$19))</f>
        <v>250</v>
      </c>
      <c r="L130" s="20" t="str">
        <f aca="false">IF($C130&lt;&gt;"",$C130/Assumptions!$C$17,IF($E130&lt;&gt;"",$E130*1000000/12/$K130/Assumptions!$C$17,IF($D130&lt;&gt;"",$D130*IF($G130&lt;&gt;"",$G130,IFERROR(INDEX(Assumptions!$C$28:$C$39,MATCH($B130,Assumptions!$B$28:$B$39,0)),Assumptions!$C$18)),"")))</f>
        <v/>
      </c>
      <c r="M130" s="20" t="str">
        <f aca="false">IF($L130="","",IF($D130&lt;&gt;"",$D130,$L130/IF($G130&lt;&gt;"",$G130,IFERROR(INDEX(Assumptions!$C$28:$C$39,MATCH($B130,Assumptions!$B$28:$B$39,0)),Assumptions!$C$18))))</f>
        <v/>
      </c>
      <c r="N130" s="21" t="str">
        <f aca="false">IF($L130="","",MIN($L130/$M130,0.95))</f>
        <v/>
      </c>
      <c r="O130" s="20" t="str">
        <f aca="false">IF($L130="","",$L130*Assumptions!$C$17*12/52)</f>
        <v/>
      </c>
      <c r="P130" s="22" t="str">
        <f aca="false">IF($L130="","",14*((2*Assumptions!$C$23*($N130*(1-$N130)+$N130*(1+Assumptions!$C$11)*(1-$N130*(1+Assumptions!$C$11)))/($N130*Assumptions!$C$11)^2/Assumptions!$C$14)/($M130*Assumptions!$C$24))^(1/Assumptions!$C$16)/7)</f>
        <v/>
      </c>
      <c r="Q130" s="22" t="str">
        <f aca="false">IF($L130="","",14*((2*Assumptions!$C$23*($N130*(1-$N130)+$N130*(1+Assumptions!$C$12)*(1-$N130*(1+Assumptions!$C$12)))/($N130*Assumptions!$C$12)^2/Assumptions!$C$14)/($M130*Assumptions!$C$24))^(1/Assumptions!$C$16)/7)</f>
        <v/>
      </c>
      <c r="R130" s="22" t="str">
        <f aca="false">IF($L130="","",14*((2*Assumptions!$C$23*($N130*(1-$N130)+$N130*(1+Assumptions!$C$13)*(1-$N130*(1+Assumptions!$C$13)))/($N130*Assumptions!$C$13)^2/Assumptions!$C$14)/($M130*Assumptions!$C$24))^(1/Assumptions!$C$16)/7)</f>
        <v/>
      </c>
      <c r="S130" s="23" t="str">
        <f aca="false">IF($L130="","",IF($P130&lt;=Assumptions!$C$9,"Tier 1",IF($P130&lt;=Assumptions!$C$10,"Tier 1 (3-wk)",IF($Q130&lt;=Assumptions!$C$10,"Tier 2",IF($R130&lt;=Assumptions!$C$10,"Tier 3",IF(AND($H130&lt;&gt;"",14*((2*Assumptions!$C$23*(MIN($H130*52/12/$M130,0.95)*(1-MIN($H130*52/12/$M130,0.95))+MIN($H130*52/12/$M130,0.95)*(1+Assumptions!$C$12)*(1-MIN($H130*52/12/$M130,0.95)*(1+Assumptions!$C$12)))/(MIN($H130*52/12/$M130,0.95)*Assumptions!$C$12)^2/Assumptions!$C$14)/($M130*Assumptions!$C$24))^(1/Assumptions!$C$16)/7&lt;=Assumptions!$C$10),"Not a fit — micro-conversion tests only","Not a fit"))))))</f>
        <v/>
      </c>
      <c r="T130" s="18" t="str">
        <f aca="false">IF($S130="","",IF(LEFT($S130,6)="Tier 1","Pursue — trial + fast programme: 5% lifts read in 2–3 weeks",IF($S130="Tier 2","Qualify — bold tests only (10%+ lifts); funnel-wide, 3-week reads",IF($S130="Tier 3","Deprioritise — only exceptional (20%) changes read in 3 weeks",IF($S130="Not a fit","Do not trial A/B — purchase tests cannot read in 3 weeks","Trial only if tests are scored on CTA clicks / leads, not purchases")))))</f>
        <v/>
      </c>
      <c r="U130" s="19" t="str">
        <f aca="false">IF($L130="","",$L130*Assumptions!$C$17*$K130*12/1000000)</f>
        <v/>
      </c>
    </row>
    <row r="131" customFormat="false" ht="15" hidden="false" customHeight="false" outlineLevel="0" collapsed="false">
      <c r="A131" s="14"/>
      <c r="B131" s="14"/>
      <c r="C131" s="15"/>
      <c r="D131" s="15"/>
      <c r="E131" s="16"/>
      <c r="F131" s="16"/>
      <c r="G131" s="17"/>
      <c r="H131" s="15"/>
      <c r="I131" s="14"/>
      <c r="J131" s="18" t="str">
        <f aca="false">IF($C131&lt;&gt;"","Actual orders",IF($E131&lt;&gt;"","Est. from revenue",IF($D131&lt;&gt;"","Est. from traffic × CVR","")))</f>
        <v/>
      </c>
      <c r="K131" s="19" t="n">
        <f aca="false">IF($F131&lt;&gt;"",$F131,IFERROR(INDEX(Assumptions!$D$28:$D$39,MATCH($B131,Assumptions!$B$28:$B$39,0)),Assumptions!$C$19))</f>
        <v>250</v>
      </c>
      <c r="L131" s="20" t="str">
        <f aca="false">IF($C131&lt;&gt;"",$C131/Assumptions!$C$17,IF($E131&lt;&gt;"",$E131*1000000/12/$K131/Assumptions!$C$17,IF($D131&lt;&gt;"",$D131*IF($G131&lt;&gt;"",$G131,IFERROR(INDEX(Assumptions!$C$28:$C$39,MATCH($B131,Assumptions!$B$28:$B$39,0)),Assumptions!$C$18)),"")))</f>
        <v/>
      </c>
      <c r="M131" s="20" t="str">
        <f aca="false">IF($L131="","",IF($D131&lt;&gt;"",$D131,$L131/IF($G131&lt;&gt;"",$G131,IFERROR(INDEX(Assumptions!$C$28:$C$39,MATCH($B131,Assumptions!$B$28:$B$39,0)),Assumptions!$C$18))))</f>
        <v/>
      </c>
      <c r="N131" s="21" t="str">
        <f aca="false">IF($L131="","",MIN($L131/$M131,0.95))</f>
        <v/>
      </c>
      <c r="O131" s="20" t="str">
        <f aca="false">IF($L131="","",$L131*Assumptions!$C$17*12/52)</f>
        <v/>
      </c>
      <c r="P131" s="22" t="str">
        <f aca="false">IF($L131="","",14*((2*Assumptions!$C$23*($N131*(1-$N131)+$N131*(1+Assumptions!$C$11)*(1-$N131*(1+Assumptions!$C$11)))/($N131*Assumptions!$C$11)^2/Assumptions!$C$14)/($M131*Assumptions!$C$24))^(1/Assumptions!$C$16)/7)</f>
        <v/>
      </c>
      <c r="Q131" s="22" t="str">
        <f aca="false">IF($L131="","",14*((2*Assumptions!$C$23*($N131*(1-$N131)+$N131*(1+Assumptions!$C$12)*(1-$N131*(1+Assumptions!$C$12)))/($N131*Assumptions!$C$12)^2/Assumptions!$C$14)/($M131*Assumptions!$C$24))^(1/Assumptions!$C$16)/7)</f>
        <v/>
      </c>
      <c r="R131" s="22" t="str">
        <f aca="false">IF($L131="","",14*((2*Assumptions!$C$23*($N131*(1-$N131)+$N131*(1+Assumptions!$C$13)*(1-$N131*(1+Assumptions!$C$13)))/($N131*Assumptions!$C$13)^2/Assumptions!$C$14)/($M131*Assumptions!$C$24))^(1/Assumptions!$C$16)/7)</f>
        <v/>
      </c>
      <c r="S131" s="23" t="str">
        <f aca="false">IF($L131="","",IF($P131&lt;=Assumptions!$C$9,"Tier 1",IF($P131&lt;=Assumptions!$C$10,"Tier 1 (3-wk)",IF($Q131&lt;=Assumptions!$C$10,"Tier 2",IF($R131&lt;=Assumptions!$C$10,"Tier 3",IF(AND($H131&lt;&gt;"",14*((2*Assumptions!$C$23*(MIN($H131*52/12/$M131,0.95)*(1-MIN($H131*52/12/$M131,0.95))+MIN($H131*52/12/$M131,0.95)*(1+Assumptions!$C$12)*(1-MIN($H131*52/12/$M131,0.95)*(1+Assumptions!$C$12)))/(MIN($H131*52/12/$M131,0.95)*Assumptions!$C$12)^2/Assumptions!$C$14)/($M131*Assumptions!$C$24))^(1/Assumptions!$C$16)/7&lt;=Assumptions!$C$10),"Not a fit — micro-conversion tests only","Not a fit"))))))</f>
        <v/>
      </c>
      <c r="T131" s="18" t="str">
        <f aca="false">IF($S131="","",IF(LEFT($S131,6)="Tier 1","Pursue — trial + fast programme: 5% lifts read in 2–3 weeks",IF($S131="Tier 2","Qualify — bold tests only (10%+ lifts); funnel-wide, 3-week reads",IF($S131="Tier 3","Deprioritise — only exceptional (20%) changes read in 3 weeks",IF($S131="Not a fit","Do not trial A/B — purchase tests cannot read in 3 weeks","Trial only if tests are scored on CTA clicks / leads, not purchases")))))</f>
        <v/>
      </c>
      <c r="U131" s="19" t="str">
        <f aca="false">IF($L131="","",$L131*Assumptions!$C$17*$K131*12/1000000)</f>
        <v/>
      </c>
    </row>
    <row r="132" customFormat="false" ht="15" hidden="false" customHeight="false" outlineLevel="0" collapsed="false">
      <c r="A132" s="14"/>
      <c r="B132" s="14"/>
      <c r="C132" s="15"/>
      <c r="D132" s="15"/>
      <c r="E132" s="16"/>
      <c r="F132" s="16"/>
      <c r="G132" s="17"/>
      <c r="H132" s="15"/>
      <c r="I132" s="14"/>
      <c r="J132" s="18" t="str">
        <f aca="false">IF($C132&lt;&gt;"","Actual orders",IF($E132&lt;&gt;"","Est. from revenue",IF($D132&lt;&gt;"","Est. from traffic × CVR","")))</f>
        <v/>
      </c>
      <c r="K132" s="19" t="n">
        <f aca="false">IF($F132&lt;&gt;"",$F132,IFERROR(INDEX(Assumptions!$D$28:$D$39,MATCH($B132,Assumptions!$B$28:$B$39,0)),Assumptions!$C$19))</f>
        <v>250</v>
      </c>
      <c r="L132" s="20" t="str">
        <f aca="false">IF($C132&lt;&gt;"",$C132/Assumptions!$C$17,IF($E132&lt;&gt;"",$E132*1000000/12/$K132/Assumptions!$C$17,IF($D132&lt;&gt;"",$D132*IF($G132&lt;&gt;"",$G132,IFERROR(INDEX(Assumptions!$C$28:$C$39,MATCH($B132,Assumptions!$B$28:$B$39,0)),Assumptions!$C$18)),"")))</f>
        <v/>
      </c>
      <c r="M132" s="20" t="str">
        <f aca="false">IF($L132="","",IF($D132&lt;&gt;"",$D132,$L132/IF($G132&lt;&gt;"",$G132,IFERROR(INDEX(Assumptions!$C$28:$C$39,MATCH($B132,Assumptions!$B$28:$B$39,0)),Assumptions!$C$18))))</f>
        <v/>
      </c>
      <c r="N132" s="21" t="str">
        <f aca="false">IF($L132="","",MIN($L132/$M132,0.95))</f>
        <v/>
      </c>
      <c r="O132" s="20" t="str">
        <f aca="false">IF($L132="","",$L132*Assumptions!$C$17*12/52)</f>
        <v/>
      </c>
      <c r="P132" s="22" t="str">
        <f aca="false">IF($L132="","",14*((2*Assumptions!$C$23*($N132*(1-$N132)+$N132*(1+Assumptions!$C$11)*(1-$N132*(1+Assumptions!$C$11)))/($N132*Assumptions!$C$11)^2/Assumptions!$C$14)/($M132*Assumptions!$C$24))^(1/Assumptions!$C$16)/7)</f>
        <v/>
      </c>
      <c r="Q132" s="22" t="str">
        <f aca="false">IF($L132="","",14*((2*Assumptions!$C$23*($N132*(1-$N132)+$N132*(1+Assumptions!$C$12)*(1-$N132*(1+Assumptions!$C$12)))/($N132*Assumptions!$C$12)^2/Assumptions!$C$14)/($M132*Assumptions!$C$24))^(1/Assumptions!$C$16)/7)</f>
        <v/>
      </c>
      <c r="R132" s="22" t="str">
        <f aca="false">IF($L132="","",14*((2*Assumptions!$C$23*($N132*(1-$N132)+$N132*(1+Assumptions!$C$13)*(1-$N132*(1+Assumptions!$C$13)))/($N132*Assumptions!$C$13)^2/Assumptions!$C$14)/($M132*Assumptions!$C$24))^(1/Assumptions!$C$16)/7)</f>
        <v/>
      </c>
      <c r="S132" s="23" t="str">
        <f aca="false">IF($L132="","",IF($P132&lt;=Assumptions!$C$9,"Tier 1",IF($P132&lt;=Assumptions!$C$10,"Tier 1 (3-wk)",IF($Q132&lt;=Assumptions!$C$10,"Tier 2",IF($R132&lt;=Assumptions!$C$10,"Tier 3",IF(AND($H132&lt;&gt;"",14*((2*Assumptions!$C$23*(MIN($H132*52/12/$M132,0.95)*(1-MIN($H132*52/12/$M132,0.95))+MIN($H132*52/12/$M132,0.95)*(1+Assumptions!$C$12)*(1-MIN($H132*52/12/$M132,0.95)*(1+Assumptions!$C$12)))/(MIN($H132*52/12/$M132,0.95)*Assumptions!$C$12)^2/Assumptions!$C$14)/($M132*Assumptions!$C$24))^(1/Assumptions!$C$16)/7&lt;=Assumptions!$C$10),"Not a fit — micro-conversion tests only","Not a fit"))))))</f>
        <v/>
      </c>
      <c r="T132" s="18" t="str">
        <f aca="false">IF($S132="","",IF(LEFT($S132,6)="Tier 1","Pursue — trial + fast programme: 5% lifts read in 2–3 weeks",IF($S132="Tier 2","Qualify — bold tests only (10%+ lifts); funnel-wide, 3-week reads",IF($S132="Tier 3","Deprioritise — only exceptional (20%) changes read in 3 weeks",IF($S132="Not a fit","Do not trial A/B — purchase tests cannot read in 3 weeks","Trial only if tests are scored on CTA clicks / leads, not purchases")))))</f>
        <v/>
      </c>
      <c r="U132" s="19" t="str">
        <f aca="false">IF($L132="","",$L132*Assumptions!$C$17*$K132*12/1000000)</f>
        <v/>
      </c>
    </row>
    <row r="133" customFormat="false" ht="15" hidden="false" customHeight="false" outlineLevel="0" collapsed="false">
      <c r="A133" s="14"/>
      <c r="B133" s="14"/>
      <c r="C133" s="15"/>
      <c r="D133" s="15"/>
      <c r="E133" s="16"/>
      <c r="F133" s="16"/>
      <c r="G133" s="17"/>
      <c r="H133" s="15"/>
      <c r="I133" s="14"/>
      <c r="J133" s="18" t="str">
        <f aca="false">IF($C133&lt;&gt;"","Actual orders",IF($E133&lt;&gt;"","Est. from revenue",IF($D133&lt;&gt;"","Est. from traffic × CVR","")))</f>
        <v/>
      </c>
      <c r="K133" s="19" t="n">
        <f aca="false">IF($F133&lt;&gt;"",$F133,IFERROR(INDEX(Assumptions!$D$28:$D$39,MATCH($B133,Assumptions!$B$28:$B$39,0)),Assumptions!$C$19))</f>
        <v>250</v>
      </c>
      <c r="L133" s="20" t="str">
        <f aca="false">IF($C133&lt;&gt;"",$C133/Assumptions!$C$17,IF($E133&lt;&gt;"",$E133*1000000/12/$K133/Assumptions!$C$17,IF($D133&lt;&gt;"",$D133*IF($G133&lt;&gt;"",$G133,IFERROR(INDEX(Assumptions!$C$28:$C$39,MATCH($B133,Assumptions!$B$28:$B$39,0)),Assumptions!$C$18)),"")))</f>
        <v/>
      </c>
      <c r="M133" s="20" t="str">
        <f aca="false">IF($L133="","",IF($D133&lt;&gt;"",$D133,$L133/IF($G133&lt;&gt;"",$G133,IFERROR(INDEX(Assumptions!$C$28:$C$39,MATCH($B133,Assumptions!$B$28:$B$39,0)),Assumptions!$C$18))))</f>
        <v/>
      </c>
      <c r="N133" s="21" t="str">
        <f aca="false">IF($L133="","",MIN($L133/$M133,0.95))</f>
        <v/>
      </c>
      <c r="O133" s="20" t="str">
        <f aca="false">IF($L133="","",$L133*Assumptions!$C$17*12/52)</f>
        <v/>
      </c>
      <c r="P133" s="22" t="str">
        <f aca="false">IF($L133="","",14*((2*Assumptions!$C$23*($N133*(1-$N133)+$N133*(1+Assumptions!$C$11)*(1-$N133*(1+Assumptions!$C$11)))/($N133*Assumptions!$C$11)^2/Assumptions!$C$14)/($M133*Assumptions!$C$24))^(1/Assumptions!$C$16)/7)</f>
        <v/>
      </c>
      <c r="Q133" s="22" t="str">
        <f aca="false">IF($L133="","",14*((2*Assumptions!$C$23*($N133*(1-$N133)+$N133*(1+Assumptions!$C$12)*(1-$N133*(1+Assumptions!$C$12)))/($N133*Assumptions!$C$12)^2/Assumptions!$C$14)/($M133*Assumptions!$C$24))^(1/Assumptions!$C$16)/7)</f>
        <v/>
      </c>
      <c r="R133" s="22" t="str">
        <f aca="false">IF($L133="","",14*((2*Assumptions!$C$23*($N133*(1-$N133)+$N133*(1+Assumptions!$C$13)*(1-$N133*(1+Assumptions!$C$13)))/($N133*Assumptions!$C$13)^2/Assumptions!$C$14)/($M133*Assumptions!$C$24))^(1/Assumptions!$C$16)/7)</f>
        <v/>
      </c>
      <c r="S133" s="23" t="str">
        <f aca="false">IF($L133="","",IF($P133&lt;=Assumptions!$C$9,"Tier 1",IF($P133&lt;=Assumptions!$C$10,"Tier 1 (3-wk)",IF($Q133&lt;=Assumptions!$C$10,"Tier 2",IF($R133&lt;=Assumptions!$C$10,"Tier 3",IF(AND($H133&lt;&gt;"",14*((2*Assumptions!$C$23*(MIN($H133*52/12/$M133,0.95)*(1-MIN($H133*52/12/$M133,0.95))+MIN($H133*52/12/$M133,0.95)*(1+Assumptions!$C$12)*(1-MIN($H133*52/12/$M133,0.95)*(1+Assumptions!$C$12)))/(MIN($H133*52/12/$M133,0.95)*Assumptions!$C$12)^2/Assumptions!$C$14)/($M133*Assumptions!$C$24))^(1/Assumptions!$C$16)/7&lt;=Assumptions!$C$10),"Not a fit — micro-conversion tests only","Not a fit"))))))</f>
        <v/>
      </c>
      <c r="T133" s="18" t="str">
        <f aca="false">IF($S133="","",IF(LEFT($S133,6)="Tier 1","Pursue — trial + fast programme: 5% lifts read in 2–3 weeks",IF($S133="Tier 2","Qualify — bold tests only (10%+ lifts); funnel-wide, 3-week reads",IF($S133="Tier 3","Deprioritise — only exceptional (20%) changes read in 3 weeks",IF($S133="Not a fit","Do not trial A/B — purchase tests cannot read in 3 weeks","Trial only if tests are scored on CTA clicks / leads, not purchases")))))</f>
        <v/>
      </c>
      <c r="U133" s="19" t="str">
        <f aca="false">IF($L133="","",$L133*Assumptions!$C$17*$K133*12/1000000)</f>
        <v/>
      </c>
    </row>
    <row r="134" customFormat="false" ht="15" hidden="false" customHeight="false" outlineLevel="0" collapsed="false">
      <c r="A134" s="14"/>
      <c r="B134" s="14"/>
      <c r="C134" s="15"/>
      <c r="D134" s="15"/>
      <c r="E134" s="16"/>
      <c r="F134" s="16"/>
      <c r="G134" s="17"/>
      <c r="H134" s="15"/>
      <c r="I134" s="14"/>
      <c r="J134" s="18" t="str">
        <f aca="false">IF($C134&lt;&gt;"","Actual orders",IF($E134&lt;&gt;"","Est. from revenue",IF($D134&lt;&gt;"","Est. from traffic × CVR","")))</f>
        <v/>
      </c>
      <c r="K134" s="19" t="n">
        <f aca="false">IF($F134&lt;&gt;"",$F134,IFERROR(INDEX(Assumptions!$D$28:$D$39,MATCH($B134,Assumptions!$B$28:$B$39,0)),Assumptions!$C$19))</f>
        <v>250</v>
      </c>
      <c r="L134" s="20" t="str">
        <f aca="false">IF($C134&lt;&gt;"",$C134/Assumptions!$C$17,IF($E134&lt;&gt;"",$E134*1000000/12/$K134/Assumptions!$C$17,IF($D134&lt;&gt;"",$D134*IF($G134&lt;&gt;"",$G134,IFERROR(INDEX(Assumptions!$C$28:$C$39,MATCH($B134,Assumptions!$B$28:$B$39,0)),Assumptions!$C$18)),"")))</f>
        <v/>
      </c>
      <c r="M134" s="20" t="str">
        <f aca="false">IF($L134="","",IF($D134&lt;&gt;"",$D134,$L134/IF($G134&lt;&gt;"",$G134,IFERROR(INDEX(Assumptions!$C$28:$C$39,MATCH($B134,Assumptions!$B$28:$B$39,0)),Assumptions!$C$18))))</f>
        <v/>
      </c>
      <c r="N134" s="21" t="str">
        <f aca="false">IF($L134="","",MIN($L134/$M134,0.95))</f>
        <v/>
      </c>
      <c r="O134" s="20" t="str">
        <f aca="false">IF($L134="","",$L134*Assumptions!$C$17*12/52)</f>
        <v/>
      </c>
      <c r="P134" s="22" t="str">
        <f aca="false">IF($L134="","",14*((2*Assumptions!$C$23*($N134*(1-$N134)+$N134*(1+Assumptions!$C$11)*(1-$N134*(1+Assumptions!$C$11)))/($N134*Assumptions!$C$11)^2/Assumptions!$C$14)/($M134*Assumptions!$C$24))^(1/Assumptions!$C$16)/7)</f>
        <v/>
      </c>
      <c r="Q134" s="22" t="str">
        <f aca="false">IF($L134="","",14*((2*Assumptions!$C$23*($N134*(1-$N134)+$N134*(1+Assumptions!$C$12)*(1-$N134*(1+Assumptions!$C$12)))/($N134*Assumptions!$C$12)^2/Assumptions!$C$14)/($M134*Assumptions!$C$24))^(1/Assumptions!$C$16)/7)</f>
        <v/>
      </c>
      <c r="R134" s="22" t="str">
        <f aca="false">IF($L134="","",14*((2*Assumptions!$C$23*($N134*(1-$N134)+$N134*(1+Assumptions!$C$13)*(1-$N134*(1+Assumptions!$C$13)))/($N134*Assumptions!$C$13)^2/Assumptions!$C$14)/($M134*Assumptions!$C$24))^(1/Assumptions!$C$16)/7)</f>
        <v/>
      </c>
      <c r="S134" s="23" t="str">
        <f aca="false">IF($L134="","",IF($P134&lt;=Assumptions!$C$9,"Tier 1",IF($P134&lt;=Assumptions!$C$10,"Tier 1 (3-wk)",IF($Q134&lt;=Assumptions!$C$10,"Tier 2",IF($R134&lt;=Assumptions!$C$10,"Tier 3",IF(AND($H134&lt;&gt;"",14*((2*Assumptions!$C$23*(MIN($H134*52/12/$M134,0.95)*(1-MIN($H134*52/12/$M134,0.95))+MIN($H134*52/12/$M134,0.95)*(1+Assumptions!$C$12)*(1-MIN($H134*52/12/$M134,0.95)*(1+Assumptions!$C$12)))/(MIN($H134*52/12/$M134,0.95)*Assumptions!$C$12)^2/Assumptions!$C$14)/($M134*Assumptions!$C$24))^(1/Assumptions!$C$16)/7&lt;=Assumptions!$C$10),"Not a fit — micro-conversion tests only","Not a fit"))))))</f>
        <v/>
      </c>
      <c r="T134" s="18" t="str">
        <f aca="false">IF($S134="","",IF(LEFT($S134,6)="Tier 1","Pursue — trial + fast programme: 5% lifts read in 2–3 weeks",IF($S134="Tier 2","Qualify — bold tests only (10%+ lifts); funnel-wide, 3-week reads",IF($S134="Tier 3","Deprioritise — only exceptional (20%) changes read in 3 weeks",IF($S134="Not a fit","Do not trial A/B — purchase tests cannot read in 3 weeks","Trial only if tests are scored on CTA clicks / leads, not purchases")))))</f>
        <v/>
      </c>
      <c r="U134" s="19" t="str">
        <f aca="false">IF($L134="","",$L134*Assumptions!$C$17*$K134*12/1000000)</f>
        <v/>
      </c>
    </row>
    <row r="135" customFormat="false" ht="15" hidden="false" customHeight="false" outlineLevel="0" collapsed="false">
      <c r="A135" s="14"/>
      <c r="B135" s="14"/>
      <c r="C135" s="15"/>
      <c r="D135" s="15"/>
      <c r="E135" s="16"/>
      <c r="F135" s="16"/>
      <c r="G135" s="17"/>
      <c r="H135" s="15"/>
      <c r="I135" s="14"/>
      <c r="J135" s="18" t="str">
        <f aca="false">IF($C135&lt;&gt;"","Actual orders",IF($E135&lt;&gt;"","Est. from revenue",IF($D135&lt;&gt;"","Est. from traffic × CVR","")))</f>
        <v/>
      </c>
      <c r="K135" s="19" t="n">
        <f aca="false">IF($F135&lt;&gt;"",$F135,IFERROR(INDEX(Assumptions!$D$28:$D$39,MATCH($B135,Assumptions!$B$28:$B$39,0)),Assumptions!$C$19))</f>
        <v>250</v>
      </c>
      <c r="L135" s="20" t="str">
        <f aca="false">IF($C135&lt;&gt;"",$C135/Assumptions!$C$17,IF($E135&lt;&gt;"",$E135*1000000/12/$K135/Assumptions!$C$17,IF($D135&lt;&gt;"",$D135*IF($G135&lt;&gt;"",$G135,IFERROR(INDEX(Assumptions!$C$28:$C$39,MATCH($B135,Assumptions!$B$28:$B$39,0)),Assumptions!$C$18)),"")))</f>
        <v/>
      </c>
      <c r="M135" s="20" t="str">
        <f aca="false">IF($L135="","",IF($D135&lt;&gt;"",$D135,$L135/IF($G135&lt;&gt;"",$G135,IFERROR(INDEX(Assumptions!$C$28:$C$39,MATCH($B135,Assumptions!$B$28:$B$39,0)),Assumptions!$C$18))))</f>
        <v/>
      </c>
      <c r="N135" s="21" t="str">
        <f aca="false">IF($L135="","",MIN($L135/$M135,0.95))</f>
        <v/>
      </c>
      <c r="O135" s="20" t="str">
        <f aca="false">IF($L135="","",$L135*Assumptions!$C$17*12/52)</f>
        <v/>
      </c>
      <c r="P135" s="22" t="str">
        <f aca="false">IF($L135="","",14*((2*Assumptions!$C$23*($N135*(1-$N135)+$N135*(1+Assumptions!$C$11)*(1-$N135*(1+Assumptions!$C$11)))/($N135*Assumptions!$C$11)^2/Assumptions!$C$14)/($M135*Assumptions!$C$24))^(1/Assumptions!$C$16)/7)</f>
        <v/>
      </c>
      <c r="Q135" s="22" t="str">
        <f aca="false">IF($L135="","",14*((2*Assumptions!$C$23*($N135*(1-$N135)+$N135*(1+Assumptions!$C$12)*(1-$N135*(1+Assumptions!$C$12)))/($N135*Assumptions!$C$12)^2/Assumptions!$C$14)/($M135*Assumptions!$C$24))^(1/Assumptions!$C$16)/7)</f>
        <v/>
      </c>
      <c r="R135" s="22" t="str">
        <f aca="false">IF($L135="","",14*((2*Assumptions!$C$23*($N135*(1-$N135)+$N135*(1+Assumptions!$C$13)*(1-$N135*(1+Assumptions!$C$13)))/($N135*Assumptions!$C$13)^2/Assumptions!$C$14)/($M135*Assumptions!$C$24))^(1/Assumptions!$C$16)/7)</f>
        <v/>
      </c>
      <c r="S135" s="23" t="str">
        <f aca="false">IF($L135="","",IF($P135&lt;=Assumptions!$C$9,"Tier 1",IF($P135&lt;=Assumptions!$C$10,"Tier 1 (3-wk)",IF($Q135&lt;=Assumptions!$C$10,"Tier 2",IF($R135&lt;=Assumptions!$C$10,"Tier 3",IF(AND($H135&lt;&gt;"",14*((2*Assumptions!$C$23*(MIN($H135*52/12/$M135,0.95)*(1-MIN($H135*52/12/$M135,0.95))+MIN($H135*52/12/$M135,0.95)*(1+Assumptions!$C$12)*(1-MIN($H135*52/12/$M135,0.95)*(1+Assumptions!$C$12)))/(MIN($H135*52/12/$M135,0.95)*Assumptions!$C$12)^2/Assumptions!$C$14)/($M135*Assumptions!$C$24))^(1/Assumptions!$C$16)/7&lt;=Assumptions!$C$10),"Not a fit — micro-conversion tests only","Not a fit"))))))</f>
        <v/>
      </c>
      <c r="T135" s="18" t="str">
        <f aca="false">IF($S135="","",IF(LEFT($S135,6)="Tier 1","Pursue — trial + fast programme: 5% lifts read in 2–3 weeks",IF($S135="Tier 2","Qualify — bold tests only (10%+ lifts); funnel-wide, 3-week reads",IF($S135="Tier 3","Deprioritise — only exceptional (20%) changes read in 3 weeks",IF($S135="Not a fit","Do not trial A/B — purchase tests cannot read in 3 weeks","Trial only if tests are scored on CTA clicks / leads, not purchases")))))</f>
        <v/>
      </c>
      <c r="U135" s="19" t="str">
        <f aca="false">IF($L135="","",$L135*Assumptions!$C$17*$K135*12/1000000)</f>
        <v/>
      </c>
    </row>
    <row r="136" customFormat="false" ht="15" hidden="false" customHeight="false" outlineLevel="0" collapsed="false">
      <c r="A136" s="14"/>
      <c r="B136" s="14"/>
      <c r="C136" s="15"/>
      <c r="D136" s="15"/>
      <c r="E136" s="16"/>
      <c r="F136" s="16"/>
      <c r="G136" s="17"/>
      <c r="H136" s="15"/>
      <c r="I136" s="14"/>
      <c r="J136" s="18" t="str">
        <f aca="false">IF($C136&lt;&gt;"","Actual orders",IF($E136&lt;&gt;"","Est. from revenue",IF($D136&lt;&gt;"","Est. from traffic × CVR","")))</f>
        <v/>
      </c>
      <c r="K136" s="19" t="n">
        <f aca="false">IF($F136&lt;&gt;"",$F136,IFERROR(INDEX(Assumptions!$D$28:$D$39,MATCH($B136,Assumptions!$B$28:$B$39,0)),Assumptions!$C$19))</f>
        <v>250</v>
      </c>
      <c r="L136" s="20" t="str">
        <f aca="false">IF($C136&lt;&gt;"",$C136/Assumptions!$C$17,IF($E136&lt;&gt;"",$E136*1000000/12/$K136/Assumptions!$C$17,IF($D136&lt;&gt;"",$D136*IF($G136&lt;&gt;"",$G136,IFERROR(INDEX(Assumptions!$C$28:$C$39,MATCH($B136,Assumptions!$B$28:$B$39,0)),Assumptions!$C$18)),"")))</f>
        <v/>
      </c>
      <c r="M136" s="20" t="str">
        <f aca="false">IF($L136="","",IF($D136&lt;&gt;"",$D136,$L136/IF($G136&lt;&gt;"",$G136,IFERROR(INDEX(Assumptions!$C$28:$C$39,MATCH($B136,Assumptions!$B$28:$B$39,0)),Assumptions!$C$18))))</f>
        <v/>
      </c>
      <c r="N136" s="21" t="str">
        <f aca="false">IF($L136="","",MIN($L136/$M136,0.95))</f>
        <v/>
      </c>
      <c r="O136" s="20" t="str">
        <f aca="false">IF($L136="","",$L136*Assumptions!$C$17*12/52)</f>
        <v/>
      </c>
      <c r="P136" s="22" t="str">
        <f aca="false">IF($L136="","",14*((2*Assumptions!$C$23*($N136*(1-$N136)+$N136*(1+Assumptions!$C$11)*(1-$N136*(1+Assumptions!$C$11)))/($N136*Assumptions!$C$11)^2/Assumptions!$C$14)/($M136*Assumptions!$C$24))^(1/Assumptions!$C$16)/7)</f>
        <v/>
      </c>
      <c r="Q136" s="22" t="str">
        <f aca="false">IF($L136="","",14*((2*Assumptions!$C$23*($N136*(1-$N136)+$N136*(1+Assumptions!$C$12)*(1-$N136*(1+Assumptions!$C$12)))/($N136*Assumptions!$C$12)^2/Assumptions!$C$14)/($M136*Assumptions!$C$24))^(1/Assumptions!$C$16)/7)</f>
        <v/>
      </c>
      <c r="R136" s="22" t="str">
        <f aca="false">IF($L136="","",14*((2*Assumptions!$C$23*($N136*(1-$N136)+$N136*(1+Assumptions!$C$13)*(1-$N136*(1+Assumptions!$C$13)))/($N136*Assumptions!$C$13)^2/Assumptions!$C$14)/($M136*Assumptions!$C$24))^(1/Assumptions!$C$16)/7)</f>
        <v/>
      </c>
      <c r="S136" s="23" t="str">
        <f aca="false">IF($L136="","",IF($P136&lt;=Assumptions!$C$9,"Tier 1",IF($P136&lt;=Assumptions!$C$10,"Tier 1 (3-wk)",IF($Q136&lt;=Assumptions!$C$10,"Tier 2",IF($R136&lt;=Assumptions!$C$10,"Tier 3",IF(AND($H136&lt;&gt;"",14*((2*Assumptions!$C$23*(MIN($H136*52/12/$M136,0.95)*(1-MIN($H136*52/12/$M136,0.95))+MIN($H136*52/12/$M136,0.95)*(1+Assumptions!$C$12)*(1-MIN($H136*52/12/$M136,0.95)*(1+Assumptions!$C$12)))/(MIN($H136*52/12/$M136,0.95)*Assumptions!$C$12)^2/Assumptions!$C$14)/($M136*Assumptions!$C$24))^(1/Assumptions!$C$16)/7&lt;=Assumptions!$C$10),"Not a fit — micro-conversion tests only","Not a fit"))))))</f>
        <v/>
      </c>
      <c r="T136" s="18" t="str">
        <f aca="false">IF($S136="","",IF(LEFT($S136,6)="Tier 1","Pursue — trial + fast programme: 5% lifts read in 2–3 weeks",IF($S136="Tier 2","Qualify — bold tests only (10%+ lifts); funnel-wide, 3-week reads",IF($S136="Tier 3","Deprioritise — only exceptional (20%) changes read in 3 weeks",IF($S136="Not a fit","Do not trial A/B — purchase tests cannot read in 3 weeks","Trial only if tests are scored on CTA clicks / leads, not purchases")))))</f>
        <v/>
      </c>
      <c r="U136" s="19" t="str">
        <f aca="false">IF($L136="","",$L136*Assumptions!$C$17*$K136*12/1000000)</f>
        <v/>
      </c>
    </row>
    <row r="137" customFormat="false" ht="15" hidden="false" customHeight="false" outlineLevel="0" collapsed="false">
      <c r="A137" s="14"/>
      <c r="B137" s="14"/>
      <c r="C137" s="15"/>
      <c r="D137" s="15"/>
      <c r="E137" s="16"/>
      <c r="F137" s="16"/>
      <c r="G137" s="17"/>
      <c r="H137" s="15"/>
      <c r="I137" s="14"/>
      <c r="J137" s="18" t="str">
        <f aca="false">IF($C137&lt;&gt;"","Actual orders",IF($E137&lt;&gt;"","Est. from revenue",IF($D137&lt;&gt;"","Est. from traffic × CVR","")))</f>
        <v/>
      </c>
      <c r="K137" s="19" t="n">
        <f aca="false">IF($F137&lt;&gt;"",$F137,IFERROR(INDEX(Assumptions!$D$28:$D$39,MATCH($B137,Assumptions!$B$28:$B$39,0)),Assumptions!$C$19))</f>
        <v>250</v>
      </c>
      <c r="L137" s="20" t="str">
        <f aca="false">IF($C137&lt;&gt;"",$C137/Assumptions!$C$17,IF($E137&lt;&gt;"",$E137*1000000/12/$K137/Assumptions!$C$17,IF($D137&lt;&gt;"",$D137*IF($G137&lt;&gt;"",$G137,IFERROR(INDEX(Assumptions!$C$28:$C$39,MATCH($B137,Assumptions!$B$28:$B$39,0)),Assumptions!$C$18)),"")))</f>
        <v/>
      </c>
      <c r="M137" s="20" t="str">
        <f aca="false">IF($L137="","",IF($D137&lt;&gt;"",$D137,$L137/IF($G137&lt;&gt;"",$G137,IFERROR(INDEX(Assumptions!$C$28:$C$39,MATCH($B137,Assumptions!$B$28:$B$39,0)),Assumptions!$C$18))))</f>
        <v/>
      </c>
      <c r="N137" s="21" t="str">
        <f aca="false">IF($L137="","",MIN($L137/$M137,0.95))</f>
        <v/>
      </c>
      <c r="O137" s="20" t="str">
        <f aca="false">IF($L137="","",$L137*Assumptions!$C$17*12/52)</f>
        <v/>
      </c>
      <c r="P137" s="22" t="str">
        <f aca="false">IF($L137="","",14*((2*Assumptions!$C$23*($N137*(1-$N137)+$N137*(1+Assumptions!$C$11)*(1-$N137*(1+Assumptions!$C$11)))/($N137*Assumptions!$C$11)^2/Assumptions!$C$14)/($M137*Assumptions!$C$24))^(1/Assumptions!$C$16)/7)</f>
        <v/>
      </c>
      <c r="Q137" s="22" t="str">
        <f aca="false">IF($L137="","",14*((2*Assumptions!$C$23*($N137*(1-$N137)+$N137*(1+Assumptions!$C$12)*(1-$N137*(1+Assumptions!$C$12)))/($N137*Assumptions!$C$12)^2/Assumptions!$C$14)/($M137*Assumptions!$C$24))^(1/Assumptions!$C$16)/7)</f>
        <v/>
      </c>
      <c r="R137" s="22" t="str">
        <f aca="false">IF($L137="","",14*((2*Assumptions!$C$23*($N137*(1-$N137)+$N137*(1+Assumptions!$C$13)*(1-$N137*(1+Assumptions!$C$13)))/($N137*Assumptions!$C$13)^2/Assumptions!$C$14)/($M137*Assumptions!$C$24))^(1/Assumptions!$C$16)/7)</f>
        <v/>
      </c>
      <c r="S137" s="23" t="str">
        <f aca="false">IF($L137="","",IF($P137&lt;=Assumptions!$C$9,"Tier 1",IF($P137&lt;=Assumptions!$C$10,"Tier 1 (3-wk)",IF($Q137&lt;=Assumptions!$C$10,"Tier 2",IF($R137&lt;=Assumptions!$C$10,"Tier 3",IF(AND($H137&lt;&gt;"",14*((2*Assumptions!$C$23*(MIN($H137*52/12/$M137,0.95)*(1-MIN($H137*52/12/$M137,0.95))+MIN($H137*52/12/$M137,0.95)*(1+Assumptions!$C$12)*(1-MIN($H137*52/12/$M137,0.95)*(1+Assumptions!$C$12)))/(MIN($H137*52/12/$M137,0.95)*Assumptions!$C$12)^2/Assumptions!$C$14)/($M137*Assumptions!$C$24))^(1/Assumptions!$C$16)/7&lt;=Assumptions!$C$10),"Not a fit — micro-conversion tests only","Not a fit"))))))</f>
        <v/>
      </c>
      <c r="T137" s="18" t="str">
        <f aca="false">IF($S137="","",IF(LEFT($S137,6)="Tier 1","Pursue — trial + fast programme: 5% lifts read in 2–3 weeks",IF($S137="Tier 2","Qualify — bold tests only (10%+ lifts); funnel-wide, 3-week reads",IF($S137="Tier 3","Deprioritise — only exceptional (20%) changes read in 3 weeks",IF($S137="Not a fit","Do not trial A/B — purchase tests cannot read in 3 weeks","Trial only if tests are scored on CTA clicks / leads, not purchases")))))</f>
        <v/>
      </c>
      <c r="U137" s="19" t="str">
        <f aca="false">IF($L137="","",$L137*Assumptions!$C$17*$K137*12/1000000)</f>
        <v/>
      </c>
    </row>
    <row r="138" customFormat="false" ht="15" hidden="false" customHeight="false" outlineLevel="0" collapsed="false">
      <c r="A138" s="14"/>
      <c r="B138" s="14"/>
      <c r="C138" s="15"/>
      <c r="D138" s="15"/>
      <c r="E138" s="16"/>
      <c r="F138" s="16"/>
      <c r="G138" s="17"/>
      <c r="H138" s="15"/>
      <c r="I138" s="14"/>
      <c r="J138" s="18" t="str">
        <f aca="false">IF($C138&lt;&gt;"","Actual orders",IF($E138&lt;&gt;"","Est. from revenue",IF($D138&lt;&gt;"","Est. from traffic × CVR","")))</f>
        <v/>
      </c>
      <c r="K138" s="19" t="n">
        <f aca="false">IF($F138&lt;&gt;"",$F138,IFERROR(INDEX(Assumptions!$D$28:$D$39,MATCH($B138,Assumptions!$B$28:$B$39,0)),Assumptions!$C$19))</f>
        <v>250</v>
      </c>
      <c r="L138" s="20" t="str">
        <f aca="false">IF($C138&lt;&gt;"",$C138/Assumptions!$C$17,IF($E138&lt;&gt;"",$E138*1000000/12/$K138/Assumptions!$C$17,IF($D138&lt;&gt;"",$D138*IF($G138&lt;&gt;"",$G138,IFERROR(INDEX(Assumptions!$C$28:$C$39,MATCH($B138,Assumptions!$B$28:$B$39,0)),Assumptions!$C$18)),"")))</f>
        <v/>
      </c>
      <c r="M138" s="20" t="str">
        <f aca="false">IF($L138="","",IF($D138&lt;&gt;"",$D138,$L138/IF($G138&lt;&gt;"",$G138,IFERROR(INDEX(Assumptions!$C$28:$C$39,MATCH($B138,Assumptions!$B$28:$B$39,0)),Assumptions!$C$18))))</f>
        <v/>
      </c>
      <c r="N138" s="21" t="str">
        <f aca="false">IF($L138="","",MIN($L138/$M138,0.95))</f>
        <v/>
      </c>
      <c r="O138" s="20" t="str">
        <f aca="false">IF($L138="","",$L138*Assumptions!$C$17*12/52)</f>
        <v/>
      </c>
      <c r="P138" s="22" t="str">
        <f aca="false">IF($L138="","",14*((2*Assumptions!$C$23*($N138*(1-$N138)+$N138*(1+Assumptions!$C$11)*(1-$N138*(1+Assumptions!$C$11)))/($N138*Assumptions!$C$11)^2/Assumptions!$C$14)/($M138*Assumptions!$C$24))^(1/Assumptions!$C$16)/7)</f>
        <v/>
      </c>
      <c r="Q138" s="22" t="str">
        <f aca="false">IF($L138="","",14*((2*Assumptions!$C$23*($N138*(1-$N138)+$N138*(1+Assumptions!$C$12)*(1-$N138*(1+Assumptions!$C$12)))/($N138*Assumptions!$C$12)^2/Assumptions!$C$14)/($M138*Assumptions!$C$24))^(1/Assumptions!$C$16)/7)</f>
        <v/>
      </c>
      <c r="R138" s="22" t="str">
        <f aca="false">IF($L138="","",14*((2*Assumptions!$C$23*($N138*(1-$N138)+$N138*(1+Assumptions!$C$13)*(1-$N138*(1+Assumptions!$C$13)))/($N138*Assumptions!$C$13)^2/Assumptions!$C$14)/($M138*Assumptions!$C$24))^(1/Assumptions!$C$16)/7)</f>
        <v/>
      </c>
      <c r="S138" s="23" t="str">
        <f aca="false">IF($L138="","",IF($P138&lt;=Assumptions!$C$9,"Tier 1",IF($P138&lt;=Assumptions!$C$10,"Tier 1 (3-wk)",IF($Q138&lt;=Assumptions!$C$10,"Tier 2",IF($R138&lt;=Assumptions!$C$10,"Tier 3",IF(AND($H138&lt;&gt;"",14*((2*Assumptions!$C$23*(MIN($H138*52/12/$M138,0.95)*(1-MIN($H138*52/12/$M138,0.95))+MIN($H138*52/12/$M138,0.95)*(1+Assumptions!$C$12)*(1-MIN($H138*52/12/$M138,0.95)*(1+Assumptions!$C$12)))/(MIN($H138*52/12/$M138,0.95)*Assumptions!$C$12)^2/Assumptions!$C$14)/($M138*Assumptions!$C$24))^(1/Assumptions!$C$16)/7&lt;=Assumptions!$C$10),"Not a fit — micro-conversion tests only","Not a fit"))))))</f>
        <v/>
      </c>
      <c r="T138" s="18" t="str">
        <f aca="false">IF($S138="","",IF(LEFT($S138,6)="Tier 1","Pursue — trial + fast programme: 5% lifts read in 2–3 weeks",IF($S138="Tier 2","Qualify — bold tests only (10%+ lifts); funnel-wide, 3-week reads",IF($S138="Tier 3","Deprioritise — only exceptional (20%) changes read in 3 weeks",IF($S138="Not a fit","Do not trial A/B — purchase tests cannot read in 3 weeks","Trial only if tests are scored on CTA clicks / leads, not purchases")))))</f>
        <v/>
      </c>
      <c r="U138" s="19" t="str">
        <f aca="false">IF($L138="","",$L138*Assumptions!$C$17*$K138*12/1000000)</f>
        <v/>
      </c>
    </row>
    <row r="139" customFormat="false" ht="15" hidden="false" customHeight="false" outlineLevel="0" collapsed="false">
      <c r="A139" s="14"/>
      <c r="B139" s="14"/>
      <c r="C139" s="15"/>
      <c r="D139" s="15"/>
      <c r="E139" s="16"/>
      <c r="F139" s="16"/>
      <c r="G139" s="17"/>
      <c r="H139" s="15"/>
      <c r="I139" s="14"/>
      <c r="J139" s="18" t="str">
        <f aca="false">IF($C139&lt;&gt;"","Actual orders",IF($E139&lt;&gt;"","Est. from revenue",IF($D139&lt;&gt;"","Est. from traffic × CVR","")))</f>
        <v/>
      </c>
      <c r="K139" s="19" t="n">
        <f aca="false">IF($F139&lt;&gt;"",$F139,IFERROR(INDEX(Assumptions!$D$28:$D$39,MATCH($B139,Assumptions!$B$28:$B$39,0)),Assumptions!$C$19))</f>
        <v>250</v>
      </c>
      <c r="L139" s="20" t="str">
        <f aca="false">IF($C139&lt;&gt;"",$C139/Assumptions!$C$17,IF($E139&lt;&gt;"",$E139*1000000/12/$K139/Assumptions!$C$17,IF($D139&lt;&gt;"",$D139*IF($G139&lt;&gt;"",$G139,IFERROR(INDEX(Assumptions!$C$28:$C$39,MATCH($B139,Assumptions!$B$28:$B$39,0)),Assumptions!$C$18)),"")))</f>
        <v/>
      </c>
      <c r="M139" s="20" t="str">
        <f aca="false">IF($L139="","",IF($D139&lt;&gt;"",$D139,$L139/IF($G139&lt;&gt;"",$G139,IFERROR(INDEX(Assumptions!$C$28:$C$39,MATCH($B139,Assumptions!$B$28:$B$39,0)),Assumptions!$C$18))))</f>
        <v/>
      </c>
      <c r="N139" s="21" t="str">
        <f aca="false">IF($L139="","",MIN($L139/$M139,0.95))</f>
        <v/>
      </c>
      <c r="O139" s="20" t="str">
        <f aca="false">IF($L139="","",$L139*Assumptions!$C$17*12/52)</f>
        <v/>
      </c>
      <c r="P139" s="22" t="str">
        <f aca="false">IF($L139="","",14*((2*Assumptions!$C$23*($N139*(1-$N139)+$N139*(1+Assumptions!$C$11)*(1-$N139*(1+Assumptions!$C$11)))/($N139*Assumptions!$C$11)^2/Assumptions!$C$14)/($M139*Assumptions!$C$24))^(1/Assumptions!$C$16)/7)</f>
        <v/>
      </c>
      <c r="Q139" s="22" t="str">
        <f aca="false">IF($L139="","",14*((2*Assumptions!$C$23*($N139*(1-$N139)+$N139*(1+Assumptions!$C$12)*(1-$N139*(1+Assumptions!$C$12)))/($N139*Assumptions!$C$12)^2/Assumptions!$C$14)/($M139*Assumptions!$C$24))^(1/Assumptions!$C$16)/7)</f>
        <v/>
      </c>
      <c r="R139" s="22" t="str">
        <f aca="false">IF($L139="","",14*((2*Assumptions!$C$23*($N139*(1-$N139)+$N139*(1+Assumptions!$C$13)*(1-$N139*(1+Assumptions!$C$13)))/($N139*Assumptions!$C$13)^2/Assumptions!$C$14)/($M139*Assumptions!$C$24))^(1/Assumptions!$C$16)/7)</f>
        <v/>
      </c>
      <c r="S139" s="23" t="str">
        <f aca="false">IF($L139="","",IF($P139&lt;=Assumptions!$C$9,"Tier 1",IF($P139&lt;=Assumptions!$C$10,"Tier 1 (3-wk)",IF($Q139&lt;=Assumptions!$C$10,"Tier 2",IF($R139&lt;=Assumptions!$C$10,"Tier 3",IF(AND($H139&lt;&gt;"",14*((2*Assumptions!$C$23*(MIN($H139*52/12/$M139,0.95)*(1-MIN($H139*52/12/$M139,0.95))+MIN($H139*52/12/$M139,0.95)*(1+Assumptions!$C$12)*(1-MIN($H139*52/12/$M139,0.95)*(1+Assumptions!$C$12)))/(MIN($H139*52/12/$M139,0.95)*Assumptions!$C$12)^2/Assumptions!$C$14)/($M139*Assumptions!$C$24))^(1/Assumptions!$C$16)/7&lt;=Assumptions!$C$10),"Not a fit — micro-conversion tests only","Not a fit"))))))</f>
        <v/>
      </c>
      <c r="T139" s="18" t="str">
        <f aca="false">IF($S139="","",IF(LEFT($S139,6)="Tier 1","Pursue — trial + fast programme: 5% lifts read in 2–3 weeks",IF($S139="Tier 2","Qualify — bold tests only (10%+ lifts); funnel-wide, 3-week reads",IF($S139="Tier 3","Deprioritise — only exceptional (20%) changes read in 3 weeks",IF($S139="Not a fit","Do not trial A/B — purchase tests cannot read in 3 weeks","Trial only if tests are scored on CTA clicks / leads, not purchases")))))</f>
        <v/>
      </c>
      <c r="U139" s="19" t="str">
        <f aca="false">IF($L139="","",$L139*Assumptions!$C$17*$K139*12/1000000)</f>
        <v/>
      </c>
    </row>
    <row r="140" customFormat="false" ht="15" hidden="false" customHeight="false" outlineLevel="0" collapsed="false">
      <c r="A140" s="14"/>
      <c r="B140" s="14"/>
      <c r="C140" s="15"/>
      <c r="D140" s="15"/>
      <c r="E140" s="16"/>
      <c r="F140" s="16"/>
      <c r="G140" s="17"/>
      <c r="H140" s="15"/>
      <c r="I140" s="14"/>
      <c r="J140" s="18" t="str">
        <f aca="false">IF($C140&lt;&gt;"","Actual orders",IF($E140&lt;&gt;"","Est. from revenue",IF($D140&lt;&gt;"","Est. from traffic × CVR","")))</f>
        <v/>
      </c>
      <c r="K140" s="19" t="n">
        <f aca="false">IF($F140&lt;&gt;"",$F140,IFERROR(INDEX(Assumptions!$D$28:$D$39,MATCH($B140,Assumptions!$B$28:$B$39,0)),Assumptions!$C$19))</f>
        <v>250</v>
      </c>
      <c r="L140" s="20" t="str">
        <f aca="false">IF($C140&lt;&gt;"",$C140/Assumptions!$C$17,IF($E140&lt;&gt;"",$E140*1000000/12/$K140/Assumptions!$C$17,IF($D140&lt;&gt;"",$D140*IF($G140&lt;&gt;"",$G140,IFERROR(INDEX(Assumptions!$C$28:$C$39,MATCH($B140,Assumptions!$B$28:$B$39,0)),Assumptions!$C$18)),"")))</f>
        <v/>
      </c>
      <c r="M140" s="20" t="str">
        <f aca="false">IF($L140="","",IF($D140&lt;&gt;"",$D140,$L140/IF($G140&lt;&gt;"",$G140,IFERROR(INDEX(Assumptions!$C$28:$C$39,MATCH($B140,Assumptions!$B$28:$B$39,0)),Assumptions!$C$18))))</f>
        <v/>
      </c>
      <c r="N140" s="21" t="str">
        <f aca="false">IF($L140="","",MIN($L140/$M140,0.95))</f>
        <v/>
      </c>
      <c r="O140" s="20" t="str">
        <f aca="false">IF($L140="","",$L140*Assumptions!$C$17*12/52)</f>
        <v/>
      </c>
      <c r="P140" s="22" t="str">
        <f aca="false">IF($L140="","",14*((2*Assumptions!$C$23*($N140*(1-$N140)+$N140*(1+Assumptions!$C$11)*(1-$N140*(1+Assumptions!$C$11)))/($N140*Assumptions!$C$11)^2/Assumptions!$C$14)/($M140*Assumptions!$C$24))^(1/Assumptions!$C$16)/7)</f>
        <v/>
      </c>
      <c r="Q140" s="22" t="str">
        <f aca="false">IF($L140="","",14*((2*Assumptions!$C$23*($N140*(1-$N140)+$N140*(1+Assumptions!$C$12)*(1-$N140*(1+Assumptions!$C$12)))/($N140*Assumptions!$C$12)^2/Assumptions!$C$14)/($M140*Assumptions!$C$24))^(1/Assumptions!$C$16)/7)</f>
        <v/>
      </c>
      <c r="R140" s="22" t="str">
        <f aca="false">IF($L140="","",14*((2*Assumptions!$C$23*($N140*(1-$N140)+$N140*(1+Assumptions!$C$13)*(1-$N140*(1+Assumptions!$C$13)))/($N140*Assumptions!$C$13)^2/Assumptions!$C$14)/($M140*Assumptions!$C$24))^(1/Assumptions!$C$16)/7)</f>
        <v/>
      </c>
      <c r="S140" s="23" t="str">
        <f aca="false">IF($L140="","",IF($P140&lt;=Assumptions!$C$9,"Tier 1",IF($P140&lt;=Assumptions!$C$10,"Tier 1 (3-wk)",IF($Q140&lt;=Assumptions!$C$10,"Tier 2",IF($R140&lt;=Assumptions!$C$10,"Tier 3",IF(AND($H140&lt;&gt;"",14*((2*Assumptions!$C$23*(MIN($H140*52/12/$M140,0.95)*(1-MIN($H140*52/12/$M140,0.95))+MIN($H140*52/12/$M140,0.95)*(1+Assumptions!$C$12)*(1-MIN($H140*52/12/$M140,0.95)*(1+Assumptions!$C$12)))/(MIN($H140*52/12/$M140,0.95)*Assumptions!$C$12)^2/Assumptions!$C$14)/($M140*Assumptions!$C$24))^(1/Assumptions!$C$16)/7&lt;=Assumptions!$C$10),"Not a fit — micro-conversion tests only","Not a fit"))))))</f>
        <v/>
      </c>
      <c r="T140" s="18" t="str">
        <f aca="false">IF($S140="","",IF(LEFT($S140,6)="Tier 1","Pursue — trial + fast programme: 5% lifts read in 2–3 weeks",IF($S140="Tier 2","Qualify — bold tests only (10%+ lifts); funnel-wide, 3-week reads",IF($S140="Tier 3","Deprioritise — only exceptional (20%) changes read in 3 weeks",IF($S140="Not a fit","Do not trial A/B — purchase tests cannot read in 3 weeks","Trial only if tests are scored on CTA clicks / leads, not purchases")))))</f>
        <v/>
      </c>
      <c r="U140" s="19" t="str">
        <f aca="false">IF($L140="","",$L140*Assumptions!$C$17*$K140*12/1000000)</f>
        <v/>
      </c>
    </row>
    <row r="141" customFormat="false" ht="15" hidden="false" customHeight="false" outlineLevel="0" collapsed="false">
      <c r="A141" s="14"/>
      <c r="B141" s="14"/>
      <c r="C141" s="15"/>
      <c r="D141" s="15"/>
      <c r="E141" s="16"/>
      <c r="F141" s="16"/>
      <c r="G141" s="17"/>
      <c r="H141" s="15"/>
      <c r="I141" s="14"/>
      <c r="J141" s="18" t="str">
        <f aca="false">IF($C141&lt;&gt;"","Actual orders",IF($E141&lt;&gt;"","Est. from revenue",IF($D141&lt;&gt;"","Est. from traffic × CVR","")))</f>
        <v/>
      </c>
      <c r="K141" s="19" t="n">
        <f aca="false">IF($F141&lt;&gt;"",$F141,IFERROR(INDEX(Assumptions!$D$28:$D$39,MATCH($B141,Assumptions!$B$28:$B$39,0)),Assumptions!$C$19))</f>
        <v>250</v>
      </c>
      <c r="L141" s="20" t="str">
        <f aca="false">IF($C141&lt;&gt;"",$C141/Assumptions!$C$17,IF($E141&lt;&gt;"",$E141*1000000/12/$K141/Assumptions!$C$17,IF($D141&lt;&gt;"",$D141*IF($G141&lt;&gt;"",$G141,IFERROR(INDEX(Assumptions!$C$28:$C$39,MATCH($B141,Assumptions!$B$28:$B$39,0)),Assumptions!$C$18)),"")))</f>
        <v/>
      </c>
      <c r="M141" s="20" t="str">
        <f aca="false">IF($L141="","",IF($D141&lt;&gt;"",$D141,$L141/IF($G141&lt;&gt;"",$G141,IFERROR(INDEX(Assumptions!$C$28:$C$39,MATCH($B141,Assumptions!$B$28:$B$39,0)),Assumptions!$C$18))))</f>
        <v/>
      </c>
      <c r="N141" s="21" t="str">
        <f aca="false">IF($L141="","",MIN($L141/$M141,0.95))</f>
        <v/>
      </c>
      <c r="O141" s="20" t="str">
        <f aca="false">IF($L141="","",$L141*Assumptions!$C$17*12/52)</f>
        <v/>
      </c>
      <c r="P141" s="22" t="str">
        <f aca="false">IF($L141="","",14*((2*Assumptions!$C$23*($N141*(1-$N141)+$N141*(1+Assumptions!$C$11)*(1-$N141*(1+Assumptions!$C$11)))/($N141*Assumptions!$C$11)^2/Assumptions!$C$14)/($M141*Assumptions!$C$24))^(1/Assumptions!$C$16)/7)</f>
        <v/>
      </c>
      <c r="Q141" s="22" t="str">
        <f aca="false">IF($L141="","",14*((2*Assumptions!$C$23*($N141*(1-$N141)+$N141*(1+Assumptions!$C$12)*(1-$N141*(1+Assumptions!$C$12)))/($N141*Assumptions!$C$12)^2/Assumptions!$C$14)/($M141*Assumptions!$C$24))^(1/Assumptions!$C$16)/7)</f>
        <v/>
      </c>
      <c r="R141" s="22" t="str">
        <f aca="false">IF($L141="","",14*((2*Assumptions!$C$23*($N141*(1-$N141)+$N141*(1+Assumptions!$C$13)*(1-$N141*(1+Assumptions!$C$13)))/($N141*Assumptions!$C$13)^2/Assumptions!$C$14)/($M141*Assumptions!$C$24))^(1/Assumptions!$C$16)/7)</f>
        <v/>
      </c>
      <c r="S141" s="23" t="str">
        <f aca="false">IF($L141="","",IF($P141&lt;=Assumptions!$C$9,"Tier 1",IF($P141&lt;=Assumptions!$C$10,"Tier 1 (3-wk)",IF($Q141&lt;=Assumptions!$C$10,"Tier 2",IF($R141&lt;=Assumptions!$C$10,"Tier 3",IF(AND($H141&lt;&gt;"",14*((2*Assumptions!$C$23*(MIN($H141*52/12/$M141,0.95)*(1-MIN($H141*52/12/$M141,0.95))+MIN($H141*52/12/$M141,0.95)*(1+Assumptions!$C$12)*(1-MIN($H141*52/12/$M141,0.95)*(1+Assumptions!$C$12)))/(MIN($H141*52/12/$M141,0.95)*Assumptions!$C$12)^2/Assumptions!$C$14)/($M141*Assumptions!$C$24))^(1/Assumptions!$C$16)/7&lt;=Assumptions!$C$10),"Not a fit — micro-conversion tests only","Not a fit"))))))</f>
        <v/>
      </c>
      <c r="T141" s="18" t="str">
        <f aca="false">IF($S141="","",IF(LEFT($S141,6)="Tier 1","Pursue — trial + fast programme: 5% lifts read in 2–3 weeks",IF($S141="Tier 2","Qualify — bold tests only (10%+ lifts); funnel-wide, 3-week reads",IF($S141="Tier 3","Deprioritise — only exceptional (20%) changes read in 3 weeks",IF($S141="Not a fit","Do not trial A/B — purchase tests cannot read in 3 weeks","Trial only if tests are scored on CTA clicks / leads, not purchases")))))</f>
        <v/>
      </c>
      <c r="U141" s="19" t="str">
        <f aca="false">IF($L141="","",$L141*Assumptions!$C$17*$K141*12/1000000)</f>
        <v/>
      </c>
    </row>
    <row r="142" customFormat="false" ht="15" hidden="false" customHeight="false" outlineLevel="0" collapsed="false">
      <c r="A142" s="14"/>
      <c r="B142" s="14"/>
      <c r="C142" s="15"/>
      <c r="D142" s="15"/>
      <c r="E142" s="16"/>
      <c r="F142" s="16"/>
      <c r="G142" s="17"/>
      <c r="H142" s="15"/>
      <c r="I142" s="14"/>
      <c r="J142" s="18" t="str">
        <f aca="false">IF($C142&lt;&gt;"","Actual orders",IF($E142&lt;&gt;"","Est. from revenue",IF($D142&lt;&gt;"","Est. from traffic × CVR","")))</f>
        <v/>
      </c>
      <c r="K142" s="19" t="n">
        <f aca="false">IF($F142&lt;&gt;"",$F142,IFERROR(INDEX(Assumptions!$D$28:$D$39,MATCH($B142,Assumptions!$B$28:$B$39,0)),Assumptions!$C$19))</f>
        <v>250</v>
      </c>
      <c r="L142" s="20" t="str">
        <f aca="false">IF($C142&lt;&gt;"",$C142/Assumptions!$C$17,IF($E142&lt;&gt;"",$E142*1000000/12/$K142/Assumptions!$C$17,IF($D142&lt;&gt;"",$D142*IF($G142&lt;&gt;"",$G142,IFERROR(INDEX(Assumptions!$C$28:$C$39,MATCH($B142,Assumptions!$B$28:$B$39,0)),Assumptions!$C$18)),"")))</f>
        <v/>
      </c>
      <c r="M142" s="20" t="str">
        <f aca="false">IF($L142="","",IF($D142&lt;&gt;"",$D142,$L142/IF($G142&lt;&gt;"",$G142,IFERROR(INDEX(Assumptions!$C$28:$C$39,MATCH($B142,Assumptions!$B$28:$B$39,0)),Assumptions!$C$18))))</f>
        <v/>
      </c>
      <c r="N142" s="21" t="str">
        <f aca="false">IF($L142="","",MIN($L142/$M142,0.95))</f>
        <v/>
      </c>
      <c r="O142" s="20" t="str">
        <f aca="false">IF($L142="","",$L142*Assumptions!$C$17*12/52)</f>
        <v/>
      </c>
      <c r="P142" s="22" t="str">
        <f aca="false">IF($L142="","",14*((2*Assumptions!$C$23*($N142*(1-$N142)+$N142*(1+Assumptions!$C$11)*(1-$N142*(1+Assumptions!$C$11)))/($N142*Assumptions!$C$11)^2/Assumptions!$C$14)/($M142*Assumptions!$C$24))^(1/Assumptions!$C$16)/7)</f>
        <v/>
      </c>
      <c r="Q142" s="22" t="str">
        <f aca="false">IF($L142="","",14*((2*Assumptions!$C$23*($N142*(1-$N142)+$N142*(1+Assumptions!$C$12)*(1-$N142*(1+Assumptions!$C$12)))/($N142*Assumptions!$C$12)^2/Assumptions!$C$14)/($M142*Assumptions!$C$24))^(1/Assumptions!$C$16)/7)</f>
        <v/>
      </c>
      <c r="R142" s="22" t="str">
        <f aca="false">IF($L142="","",14*((2*Assumptions!$C$23*($N142*(1-$N142)+$N142*(1+Assumptions!$C$13)*(1-$N142*(1+Assumptions!$C$13)))/($N142*Assumptions!$C$13)^2/Assumptions!$C$14)/($M142*Assumptions!$C$24))^(1/Assumptions!$C$16)/7)</f>
        <v/>
      </c>
      <c r="S142" s="23" t="str">
        <f aca="false">IF($L142="","",IF($P142&lt;=Assumptions!$C$9,"Tier 1",IF($P142&lt;=Assumptions!$C$10,"Tier 1 (3-wk)",IF($Q142&lt;=Assumptions!$C$10,"Tier 2",IF($R142&lt;=Assumptions!$C$10,"Tier 3",IF(AND($H142&lt;&gt;"",14*((2*Assumptions!$C$23*(MIN($H142*52/12/$M142,0.95)*(1-MIN($H142*52/12/$M142,0.95))+MIN($H142*52/12/$M142,0.95)*(1+Assumptions!$C$12)*(1-MIN($H142*52/12/$M142,0.95)*(1+Assumptions!$C$12)))/(MIN($H142*52/12/$M142,0.95)*Assumptions!$C$12)^2/Assumptions!$C$14)/($M142*Assumptions!$C$24))^(1/Assumptions!$C$16)/7&lt;=Assumptions!$C$10),"Not a fit — micro-conversion tests only","Not a fit"))))))</f>
        <v/>
      </c>
      <c r="T142" s="18" t="str">
        <f aca="false">IF($S142="","",IF(LEFT($S142,6)="Tier 1","Pursue — trial + fast programme: 5% lifts read in 2–3 weeks",IF($S142="Tier 2","Qualify — bold tests only (10%+ lifts); funnel-wide, 3-week reads",IF($S142="Tier 3","Deprioritise — only exceptional (20%) changes read in 3 weeks",IF($S142="Not a fit","Do not trial A/B — purchase tests cannot read in 3 weeks","Trial only if tests are scored on CTA clicks / leads, not purchases")))))</f>
        <v/>
      </c>
      <c r="U142" s="19" t="str">
        <f aca="false">IF($L142="","",$L142*Assumptions!$C$17*$K142*12/1000000)</f>
        <v/>
      </c>
    </row>
    <row r="143" customFormat="false" ht="15" hidden="false" customHeight="false" outlineLevel="0" collapsed="false">
      <c r="A143" s="14"/>
      <c r="B143" s="14"/>
      <c r="C143" s="15"/>
      <c r="D143" s="15"/>
      <c r="E143" s="16"/>
      <c r="F143" s="16"/>
      <c r="G143" s="17"/>
      <c r="H143" s="15"/>
      <c r="I143" s="14"/>
      <c r="J143" s="18" t="str">
        <f aca="false">IF($C143&lt;&gt;"","Actual orders",IF($E143&lt;&gt;"","Est. from revenue",IF($D143&lt;&gt;"","Est. from traffic × CVR","")))</f>
        <v/>
      </c>
      <c r="K143" s="19" t="n">
        <f aca="false">IF($F143&lt;&gt;"",$F143,IFERROR(INDEX(Assumptions!$D$28:$D$39,MATCH($B143,Assumptions!$B$28:$B$39,0)),Assumptions!$C$19))</f>
        <v>250</v>
      </c>
      <c r="L143" s="20" t="str">
        <f aca="false">IF($C143&lt;&gt;"",$C143/Assumptions!$C$17,IF($E143&lt;&gt;"",$E143*1000000/12/$K143/Assumptions!$C$17,IF($D143&lt;&gt;"",$D143*IF($G143&lt;&gt;"",$G143,IFERROR(INDEX(Assumptions!$C$28:$C$39,MATCH($B143,Assumptions!$B$28:$B$39,0)),Assumptions!$C$18)),"")))</f>
        <v/>
      </c>
      <c r="M143" s="20" t="str">
        <f aca="false">IF($L143="","",IF($D143&lt;&gt;"",$D143,$L143/IF($G143&lt;&gt;"",$G143,IFERROR(INDEX(Assumptions!$C$28:$C$39,MATCH($B143,Assumptions!$B$28:$B$39,0)),Assumptions!$C$18))))</f>
        <v/>
      </c>
      <c r="N143" s="21" t="str">
        <f aca="false">IF($L143="","",MIN($L143/$M143,0.95))</f>
        <v/>
      </c>
      <c r="O143" s="20" t="str">
        <f aca="false">IF($L143="","",$L143*Assumptions!$C$17*12/52)</f>
        <v/>
      </c>
      <c r="P143" s="22" t="str">
        <f aca="false">IF($L143="","",14*((2*Assumptions!$C$23*($N143*(1-$N143)+$N143*(1+Assumptions!$C$11)*(1-$N143*(1+Assumptions!$C$11)))/($N143*Assumptions!$C$11)^2/Assumptions!$C$14)/($M143*Assumptions!$C$24))^(1/Assumptions!$C$16)/7)</f>
        <v/>
      </c>
      <c r="Q143" s="22" t="str">
        <f aca="false">IF($L143="","",14*((2*Assumptions!$C$23*($N143*(1-$N143)+$N143*(1+Assumptions!$C$12)*(1-$N143*(1+Assumptions!$C$12)))/($N143*Assumptions!$C$12)^2/Assumptions!$C$14)/($M143*Assumptions!$C$24))^(1/Assumptions!$C$16)/7)</f>
        <v/>
      </c>
      <c r="R143" s="22" t="str">
        <f aca="false">IF($L143="","",14*((2*Assumptions!$C$23*($N143*(1-$N143)+$N143*(1+Assumptions!$C$13)*(1-$N143*(1+Assumptions!$C$13)))/($N143*Assumptions!$C$13)^2/Assumptions!$C$14)/($M143*Assumptions!$C$24))^(1/Assumptions!$C$16)/7)</f>
        <v/>
      </c>
      <c r="S143" s="23" t="str">
        <f aca="false">IF($L143="","",IF($P143&lt;=Assumptions!$C$9,"Tier 1",IF($P143&lt;=Assumptions!$C$10,"Tier 1 (3-wk)",IF($Q143&lt;=Assumptions!$C$10,"Tier 2",IF($R143&lt;=Assumptions!$C$10,"Tier 3",IF(AND($H143&lt;&gt;"",14*((2*Assumptions!$C$23*(MIN($H143*52/12/$M143,0.95)*(1-MIN($H143*52/12/$M143,0.95))+MIN($H143*52/12/$M143,0.95)*(1+Assumptions!$C$12)*(1-MIN($H143*52/12/$M143,0.95)*(1+Assumptions!$C$12)))/(MIN($H143*52/12/$M143,0.95)*Assumptions!$C$12)^2/Assumptions!$C$14)/($M143*Assumptions!$C$24))^(1/Assumptions!$C$16)/7&lt;=Assumptions!$C$10),"Not a fit — micro-conversion tests only","Not a fit"))))))</f>
        <v/>
      </c>
      <c r="T143" s="18" t="str">
        <f aca="false">IF($S143="","",IF(LEFT($S143,6)="Tier 1","Pursue — trial + fast programme: 5% lifts read in 2–3 weeks",IF($S143="Tier 2","Qualify — bold tests only (10%+ lifts); funnel-wide, 3-week reads",IF($S143="Tier 3","Deprioritise — only exceptional (20%) changes read in 3 weeks",IF($S143="Not a fit","Do not trial A/B — purchase tests cannot read in 3 weeks","Trial only if tests are scored on CTA clicks / leads, not purchases")))))</f>
        <v/>
      </c>
      <c r="U143" s="19" t="str">
        <f aca="false">IF($L143="","",$L143*Assumptions!$C$17*$K143*12/1000000)</f>
        <v/>
      </c>
    </row>
    <row r="144" customFormat="false" ht="15" hidden="false" customHeight="false" outlineLevel="0" collapsed="false">
      <c r="A144" s="14"/>
      <c r="B144" s="14"/>
      <c r="C144" s="15"/>
      <c r="D144" s="15"/>
      <c r="E144" s="16"/>
      <c r="F144" s="16"/>
      <c r="G144" s="17"/>
      <c r="H144" s="15"/>
      <c r="I144" s="14"/>
      <c r="J144" s="18" t="str">
        <f aca="false">IF($C144&lt;&gt;"","Actual orders",IF($E144&lt;&gt;"","Est. from revenue",IF($D144&lt;&gt;"","Est. from traffic × CVR","")))</f>
        <v/>
      </c>
      <c r="K144" s="19" t="n">
        <f aca="false">IF($F144&lt;&gt;"",$F144,IFERROR(INDEX(Assumptions!$D$28:$D$39,MATCH($B144,Assumptions!$B$28:$B$39,0)),Assumptions!$C$19))</f>
        <v>250</v>
      </c>
      <c r="L144" s="20" t="str">
        <f aca="false">IF($C144&lt;&gt;"",$C144/Assumptions!$C$17,IF($E144&lt;&gt;"",$E144*1000000/12/$K144/Assumptions!$C$17,IF($D144&lt;&gt;"",$D144*IF($G144&lt;&gt;"",$G144,IFERROR(INDEX(Assumptions!$C$28:$C$39,MATCH($B144,Assumptions!$B$28:$B$39,0)),Assumptions!$C$18)),"")))</f>
        <v/>
      </c>
      <c r="M144" s="20" t="str">
        <f aca="false">IF($L144="","",IF($D144&lt;&gt;"",$D144,$L144/IF($G144&lt;&gt;"",$G144,IFERROR(INDEX(Assumptions!$C$28:$C$39,MATCH($B144,Assumptions!$B$28:$B$39,0)),Assumptions!$C$18))))</f>
        <v/>
      </c>
      <c r="N144" s="21" t="str">
        <f aca="false">IF($L144="","",MIN($L144/$M144,0.95))</f>
        <v/>
      </c>
      <c r="O144" s="20" t="str">
        <f aca="false">IF($L144="","",$L144*Assumptions!$C$17*12/52)</f>
        <v/>
      </c>
      <c r="P144" s="22" t="str">
        <f aca="false">IF($L144="","",14*((2*Assumptions!$C$23*($N144*(1-$N144)+$N144*(1+Assumptions!$C$11)*(1-$N144*(1+Assumptions!$C$11)))/($N144*Assumptions!$C$11)^2/Assumptions!$C$14)/($M144*Assumptions!$C$24))^(1/Assumptions!$C$16)/7)</f>
        <v/>
      </c>
      <c r="Q144" s="22" t="str">
        <f aca="false">IF($L144="","",14*((2*Assumptions!$C$23*($N144*(1-$N144)+$N144*(1+Assumptions!$C$12)*(1-$N144*(1+Assumptions!$C$12)))/($N144*Assumptions!$C$12)^2/Assumptions!$C$14)/($M144*Assumptions!$C$24))^(1/Assumptions!$C$16)/7)</f>
        <v/>
      </c>
      <c r="R144" s="22" t="str">
        <f aca="false">IF($L144="","",14*((2*Assumptions!$C$23*($N144*(1-$N144)+$N144*(1+Assumptions!$C$13)*(1-$N144*(1+Assumptions!$C$13)))/($N144*Assumptions!$C$13)^2/Assumptions!$C$14)/($M144*Assumptions!$C$24))^(1/Assumptions!$C$16)/7)</f>
        <v/>
      </c>
      <c r="S144" s="23" t="str">
        <f aca="false">IF($L144="","",IF($P144&lt;=Assumptions!$C$9,"Tier 1",IF($P144&lt;=Assumptions!$C$10,"Tier 1 (3-wk)",IF($Q144&lt;=Assumptions!$C$10,"Tier 2",IF($R144&lt;=Assumptions!$C$10,"Tier 3",IF(AND($H144&lt;&gt;"",14*((2*Assumptions!$C$23*(MIN($H144*52/12/$M144,0.95)*(1-MIN($H144*52/12/$M144,0.95))+MIN($H144*52/12/$M144,0.95)*(1+Assumptions!$C$12)*(1-MIN($H144*52/12/$M144,0.95)*(1+Assumptions!$C$12)))/(MIN($H144*52/12/$M144,0.95)*Assumptions!$C$12)^2/Assumptions!$C$14)/($M144*Assumptions!$C$24))^(1/Assumptions!$C$16)/7&lt;=Assumptions!$C$10),"Not a fit — micro-conversion tests only","Not a fit"))))))</f>
        <v/>
      </c>
      <c r="T144" s="18" t="str">
        <f aca="false">IF($S144="","",IF(LEFT($S144,6)="Tier 1","Pursue — trial + fast programme: 5% lifts read in 2–3 weeks",IF($S144="Tier 2","Qualify — bold tests only (10%+ lifts); funnel-wide, 3-week reads",IF($S144="Tier 3","Deprioritise — only exceptional (20%) changes read in 3 weeks",IF($S144="Not a fit","Do not trial A/B — purchase tests cannot read in 3 weeks","Trial only if tests are scored on CTA clicks / leads, not purchases")))))</f>
        <v/>
      </c>
      <c r="U144" s="19" t="str">
        <f aca="false">IF($L144="","",$L144*Assumptions!$C$17*$K144*12/1000000)</f>
        <v/>
      </c>
    </row>
    <row r="145" customFormat="false" ht="15" hidden="false" customHeight="false" outlineLevel="0" collapsed="false">
      <c r="A145" s="14"/>
      <c r="B145" s="14"/>
      <c r="C145" s="15"/>
      <c r="D145" s="15"/>
      <c r="E145" s="16"/>
      <c r="F145" s="16"/>
      <c r="G145" s="17"/>
      <c r="H145" s="15"/>
      <c r="I145" s="14"/>
      <c r="J145" s="18" t="str">
        <f aca="false">IF($C145&lt;&gt;"","Actual orders",IF($E145&lt;&gt;"","Est. from revenue",IF($D145&lt;&gt;"","Est. from traffic × CVR","")))</f>
        <v/>
      </c>
      <c r="K145" s="19" t="n">
        <f aca="false">IF($F145&lt;&gt;"",$F145,IFERROR(INDEX(Assumptions!$D$28:$D$39,MATCH($B145,Assumptions!$B$28:$B$39,0)),Assumptions!$C$19))</f>
        <v>250</v>
      </c>
      <c r="L145" s="20" t="str">
        <f aca="false">IF($C145&lt;&gt;"",$C145/Assumptions!$C$17,IF($E145&lt;&gt;"",$E145*1000000/12/$K145/Assumptions!$C$17,IF($D145&lt;&gt;"",$D145*IF($G145&lt;&gt;"",$G145,IFERROR(INDEX(Assumptions!$C$28:$C$39,MATCH($B145,Assumptions!$B$28:$B$39,0)),Assumptions!$C$18)),"")))</f>
        <v/>
      </c>
      <c r="M145" s="20" t="str">
        <f aca="false">IF($L145="","",IF($D145&lt;&gt;"",$D145,$L145/IF($G145&lt;&gt;"",$G145,IFERROR(INDEX(Assumptions!$C$28:$C$39,MATCH($B145,Assumptions!$B$28:$B$39,0)),Assumptions!$C$18))))</f>
        <v/>
      </c>
      <c r="N145" s="21" t="str">
        <f aca="false">IF($L145="","",MIN($L145/$M145,0.95))</f>
        <v/>
      </c>
      <c r="O145" s="20" t="str">
        <f aca="false">IF($L145="","",$L145*Assumptions!$C$17*12/52)</f>
        <v/>
      </c>
      <c r="P145" s="22" t="str">
        <f aca="false">IF($L145="","",14*((2*Assumptions!$C$23*($N145*(1-$N145)+$N145*(1+Assumptions!$C$11)*(1-$N145*(1+Assumptions!$C$11)))/($N145*Assumptions!$C$11)^2/Assumptions!$C$14)/($M145*Assumptions!$C$24))^(1/Assumptions!$C$16)/7)</f>
        <v/>
      </c>
      <c r="Q145" s="22" t="str">
        <f aca="false">IF($L145="","",14*((2*Assumptions!$C$23*($N145*(1-$N145)+$N145*(1+Assumptions!$C$12)*(1-$N145*(1+Assumptions!$C$12)))/($N145*Assumptions!$C$12)^2/Assumptions!$C$14)/($M145*Assumptions!$C$24))^(1/Assumptions!$C$16)/7)</f>
        <v/>
      </c>
      <c r="R145" s="22" t="str">
        <f aca="false">IF($L145="","",14*((2*Assumptions!$C$23*($N145*(1-$N145)+$N145*(1+Assumptions!$C$13)*(1-$N145*(1+Assumptions!$C$13)))/($N145*Assumptions!$C$13)^2/Assumptions!$C$14)/($M145*Assumptions!$C$24))^(1/Assumptions!$C$16)/7)</f>
        <v/>
      </c>
      <c r="S145" s="23" t="str">
        <f aca="false">IF($L145="","",IF($P145&lt;=Assumptions!$C$9,"Tier 1",IF($P145&lt;=Assumptions!$C$10,"Tier 1 (3-wk)",IF($Q145&lt;=Assumptions!$C$10,"Tier 2",IF($R145&lt;=Assumptions!$C$10,"Tier 3",IF(AND($H145&lt;&gt;"",14*((2*Assumptions!$C$23*(MIN($H145*52/12/$M145,0.95)*(1-MIN($H145*52/12/$M145,0.95))+MIN($H145*52/12/$M145,0.95)*(1+Assumptions!$C$12)*(1-MIN($H145*52/12/$M145,0.95)*(1+Assumptions!$C$12)))/(MIN($H145*52/12/$M145,0.95)*Assumptions!$C$12)^2/Assumptions!$C$14)/($M145*Assumptions!$C$24))^(1/Assumptions!$C$16)/7&lt;=Assumptions!$C$10),"Not a fit — micro-conversion tests only","Not a fit"))))))</f>
        <v/>
      </c>
      <c r="T145" s="18" t="str">
        <f aca="false">IF($S145="","",IF(LEFT($S145,6)="Tier 1","Pursue — trial + fast programme: 5% lifts read in 2–3 weeks",IF($S145="Tier 2","Qualify — bold tests only (10%+ lifts); funnel-wide, 3-week reads",IF($S145="Tier 3","Deprioritise — only exceptional (20%) changes read in 3 weeks",IF($S145="Not a fit","Do not trial A/B — purchase tests cannot read in 3 weeks","Trial only if tests are scored on CTA clicks / leads, not purchases")))))</f>
        <v/>
      </c>
      <c r="U145" s="19" t="str">
        <f aca="false">IF($L145="","",$L145*Assumptions!$C$17*$K145*12/1000000)</f>
        <v/>
      </c>
    </row>
    <row r="146" customFormat="false" ht="15" hidden="false" customHeight="false" outlineLevel="0" collapsed="false">
      <c r="A146" s="14"/>
      <c r="B146" s="14"/>
      <c r="C146" s="15"/>
      <c r="D146" s="15"/>
      <c r="E146" s="16"/>
      <c r="F146" s="16"/>
      <c r="G146" s="17"/>
      <c r="H146" s="15"/>
      <c r="I146" s="14"/>
      <c r="J146" s="18" t="str">
        <f aca="false">IF($C146&lt;&gt;"","Actual orders",IF($E146&lt;&gt;"","Est. from revenue",IF($D146&lt;&gt;"","Est. from traffic × CVR","")))</f>
        <v/>
      </c>
      <c r="K146" s="19" t="n">
        <f aca="false">IF($F146&lt;&gt;"",$F146,IFERROR(INDEX(Assumptions!$D$28:$D$39,MATCH($B146,Assumptions!$B$28:$B$39,0)),Assumptions!$C$19))</f>
        <v>250</v>
      </c>
      <c r="L146" s="20" t="str">
        <f aca="false">IF($C146&lt;&gt;"",$C146/Assumptions!$C$17,IF($E146&lt;&gt;"",$E146*1000000/12/$K146/Assumptions!$C$17,IF($D146&lt;&gt;"",$D146*IF($G146&lt;&gt;"",$G146,IFERROR(INDEX(Assumptions!$C$28:$C$39,MATCH($B146,Assumptions!$B$28:$B$39,0)),Assumptions!$C$18)),"")))</f>
        <v/>
      </c>
      <c r="M146" s="20" t="str">
        <f aca="false">IF($L146="","",IF($D146&lt;&gt;"",$D146,$L146/IF($G146&lt;&gt;"",$G146,IFERROR(INDEX(Assumptions!$C$28:$C$39,MATCH($B146,Assumptions!$B$28:$B$39,0)),Assumptions!$C$18))))</f>
        <v/>
      </c>
      <c r="N146" s="21" t="str">
        <f aca="false">IF($L146="","",MIN($L146/$M146,0.95))</f>
        <v/>
      </c>
      <c r="O146" s="20" t="str">
        <f aca="false">IF($L146="","",$L146*Assumptions!$C$17*12/52)</f>
        <v/>
      </c>
      <c r="P146" s="22" t="str">
        <f aca="false">IF($L146="","",14*((2*Assumptions!$C$23*($N146*(1-$N146)+$N146*(1+Assumptions!$C$11)*(1-$N146*(1+Assumptions!$C$11)))/($N146*Assumptions!$C$11)^2/Assumptions!$C$14)/($M146*Assumptions!$C$24))^(1/Assumptions!$C$16)/7)</f>
        <v/>
      </c>
      <c r="Q146" s="22" t="str">
        <f aca="false">IF($L146="","",14*((2*Assumptions!$C$23*($N146*(1-$N146)+$N146*(1+Assumptions!$C$12)*(1-$N146*(1+Assumptions!$C$12)))/($N146*Assumptions!$C$12)^2/Assumptions!$C$14)/($M146*Assumptions!$C$24))^(1/Assumptions!$C$16)/7)</f>
        <v/>
      </c>
      <c r="R146" s="22" t="str">
        <f aca="false">IF($L146="","",14*((2*Assumptions!$C$23*($N146*(1-$N146)+$N146*(1+Assumptions!$C$13)*(1-$N146*(1+Assumptions!$C$13)))/($N146*Assumptions!$C$13)^2/Assumptions!$C$14)/($M146*Assumptions!$C$24))^(1/Assumptions!$C$16)/7)</f>
        <v/>
      </c>
      <c r="S146" s="23" t="str">
        <f aca="false">IF($L146="","",IF($P146&lt;=Assumptions!$C$9,"Tier 1",IF($P146&lt;=Assumptions!$C$10,"Tier 1 (3-wk)",IF($Q146&lt;=Assumptions!$C$10,"Tier 2",IF($R146&lt;=Assumptions!$C$10,"Tier 3",IF(AND($H146&lt;&gt;"",14*((2*Assumptions!$C$23*(MIN($H146*52/12/$M146,0.95)*(1-MIN($H146*52/12/$M146,0.95))+MIN($H146*52/12/$M146,0.95)*(1+Assumptions!$C$12)*(1-MIN($H146*52/12/$M146,0.95)*(1+Assumptions!$C$12)))/(MIN($H146*52/12/$M146,0.95)*Assumptions!$C$12)^2/Assumptions!$C$14)/($M146*Assumptions!$C$24))^(1/Assumptions!$C$16)/7&lt;=Assumptions!$C$10),"Not a fit — micro-conversion tests only","Not a fit"))))))</f>
        <v/>
      </c>
      <c r="T146" s="18" t="str">
        <f aca="false">IF($S146="","",IF(LEFT($S146,6)="Tier 1","Pursue — trial + fast programme: 5% lifts read in 2–3 weeks",IF($S146="Tier 2","Qualify — bold tests only (10%+ lifts); funnel-wide, 3-week reads",IF($S146="Tier 3","Deprioritise — only exceptional (20%) changes read in 3 weeks",IF($S146="Not a fit","Do not trial A/B — purchase tests cannot read in 3 weeks","Trial only if tests are scored on CTA clicks / leads, not purchases")))))</f>
        <v/>
      </c>
      <c r="U146" s="19" t="str">
        <f aca="false">IF($L146="","",$L146*Assumptions!$C$17*$K146*12/1000000)</f>
        <v/>
      </c>
    </row>
    <row r="147" customFormat="false" ht="15" hidden="false" customHeight="false" outlineLevel="0" collapsed="false">
      <c r="A147" s="14"/>
      <c r="B147" s="14"/>
      <c r="C147" s="15"/>
      <c r="D147" s="15"/>
      <c r="E147" s="16"/>
      <c r="F147" s="16"/>
      <c r="G147" s="17"/>
      <c r="H147" s="15"/>
      <c r="I147" s="14"/>
      <c r="J147" s="18" t="str">
        <f aca="false">IF($C147&lt;&gt;"","Actual orders",IF($E147&lt;&gt;"","Est. from revenue",IF($D147&lt;&gt;"","Est. from traffic × CVR","")))</f>
        <v/>
      </c>
      <c r="K147" s="19" t="n">
        <f aca="false">IF($F147&lt;&gt;"",$F147,IFERROR(INDEX(Assumptions!$D$28:$D$39,MATCH($B147,Assumptions!$B$28:$B$39,0)),Assumptions!$C$19))</f>
        <v>250</v>
      </c>
      <c r="L147" s="20" t="str">
        <f aca="false">IF($C147&lt;&gt;"",$C147/Assumptions!$C$17,IF($E147&lt;&gt;"",$E147*1000000/12/$K147/Assumptions!$C$17,IF($D147&lt;&gt;"",$D147*IF($G147&lt;&gt;"",$G147,IFERROR(INDEX(Assumptions!$C$28:$C$39,MATCH($B147,Assumptions!$B$28:$B$39,0)),Assumptions!$C$18)),"")))</f>
        <v/>
      </c>
      <c r="M147" s="20" t="str">
        <f aca="false">IF($L147="","",IF($D147&lt;&gt;"",$D147,$L147/IF($G147&lt;&gt;"",$G147,IFERROR(INDEX(Assumptions!$C$28:$C$39,MATCH($B147,Assumptions!$B$28:$B$39,0)),Assumptions!$C$18))))</f>
        <v/>
      </c>
      <c r="N147" s="21" t="str">
        <f aca="false">IF($L147="","",MIN($L147/$M147,0.95))</f>
        <v/>
      </c>
      <c r="O147" s="20" t="str">
        <f aca="false">IF($L147="","",$L147*Assumptions!$C$17*12/52)</f>
        <v/>
      </c>
      <c r="P147" s="22" t="str">
        <f aca="false">IF($L147="","",14*((2*Assumptions!$C$23*($N147*(1-$N147)+$N147*(1+Assumptions!$C$11)*(1-$N147*(1+Assumptions!$C$11)))/($N147*Assumptions!$C$11)^2/Assumptions!$C$14)/($M147*Assumptions!$C$24))^(1/Assumptions!$C$16)/7)</f>
        <v/>
      </c>
      <c r="Q147" s="22" t="str">
        <f aca="false">IF($L147="","",14*((2*Assumptions!$C$23*($N147*(1-$N147)+$N147*(1+Assumptions!$C$12)*(1-$N147*(1+Assumptions!$C$12)))/($N147*Assumptions!$C$12)^2/Assumptions!$C$14)/($M147*Assumptions!$C$24))^(1/Assumptions!$C$16)/7)</f>
        <v/>
      </c>
      <c r="R147" s="22" t="str">
        <f aca="false">IF($L147="","",14*((2*Assumptions!$C$23*($N147*(1-$N147)+$N147*(1+Assumptions!$C$13)*(1-$N147*(1+Assumptions!$C$13)))/($N147*Assumptions!$C$13)^2/Assumptions!$C$14)/($M147*Assumptions!$C$24))^(1/Assumptions!$C$16)/7)</f>
        <v/>
      </c>
      <c r="S147" s="23" t="str">
        <f aca="false">IF($L147="","",IF($P147&lt;=Assumptions!$C$9,"Tier 1",IF($P147&lt;=Assumptions!$C$10,"Tier 1 (3-wk)",IF($Q147&lt;=Assumptions!$C$10,"Tier 2",IF($R147&lt;=Assumptions!$C$10,"Tier 3",IF(AND($H147&lt;&gt;"",14*((2*Assumptions!$C$23*(MIN($H147*52/12/$M147,0.95)*(1-MIN($H147*52/12/$M147,0.95))+MIN($H147*52/12/$M147,0.95)*(1+Assumptions!$C$12)*(1-MIN($H147*52/12/$M147,0.95)*(1+Assumptions!$C$12)))/(MIN($H147*52/12/$M147,0.95)*Assumptions!$C$12)^2/Assumptions!$C$14)/($M147*Assumptions!$C$24))^(1/Assumptions!$C$16)/7&lt;=Assumptions!$C$10),"Not a fit — micro-conversion tests only","Not a fit"))))))</f>
        <v/>
      </c>
      <c r="T147" s="18" t="str">
        <f aca="false">IF($S147="","",IF(LEFT($S147,6)="Tier 1","Pursue — trial + fast programme: 5% lifts read in 2–3 weeks",IF($S147="Tier 2","Qualify — bold tests only (10%+ lifts); funnel-wide, 3-week reads",IF($S147="Tier 3","Deprioritise — only exceptional (20%) changes read in 3 weeks",IF($S147="Not a fit","Do not trial A/B — purchase tests cannot read in 3 weeks","Trial only if tests are scored on CTA clicks / leads, not purchases")))))</f>
        <v/>
      </c>
      <c r="U147" s="19" t="str">
        <f aca="false">IF($L147="","",$L147*Assumptions!$C$17*$K147*12/1000000)</f>
        <v/>
      </c>
    </row>
    <row r="148" customFormat="false" ht="15" hidden="false" customHeight="false" outlineLevel="0" collapsed="false">
      <c r="A148" s="14"/>
      <c r="B148" s="14"/>
      <c r="C148" s="15"/>
      <c r="D148" s="15"/>
      <c r="E148" s="16"/>
      <c r="F148" s="16"/>
      <c r="G148" s="17"/>
      <c r="H148" s="15"/>
      <c r="I148" s="14"/>
      <c r="J148" s="18" t="str">
        <f aca="false">IF($C148&lt;&gt;"","Actual orders",IF($E148&lt;&gt;"","Est. from revenue",IF($D148&lt;&gt;"","Est. from traffic × CVR","")))</f>
        <v/>
      </c>
      <c r="K148" s="19" t="n">
        <f aca="false">IF($F148&lt;&gt;"",$F148,IFERROR(INDEX(Assumptions!$D$28:$D$39,MATCH($B148,Assumptions!$B$28:$B$39,0)),Assumptions!$C$19))</f>
        <v>250</v>
      </c>
      <c r="L148" s="20" t="str">
        <f aca="false">IF($C148&lt;&gt;"",$C148/Assumptions!$C$17,IF($E148&lt;&gt;"",$E148*1000000/12/$K148/Assumptions!$C$17,IF($D148&lt;&gt;"",$D148*IF($G148&lt;&gt;"",$G148,IFERROR(INDEX(Assumptions!$C$28:$C$39,MATCH($B148,Assumptions!$B$28:$B$39,0)),Assumptions!$C$18)),"")))</f>
        <v/>
      </c>
      <c r="M148" s="20" t="str">
        <f aca="false">IF($L148="","",IF($D148&lt;&gt;"",$D148,$L148/IF($G148&lt;&gt;"",$G148,IFERROR(INDEX(Assumptions!$C$28:$C$39,MATCH($B148,Assumptions!$B$28:$B$39,0)),Assumptions!$C$18))))</f>
        <v/>
      </c>
      <c r="N148" s="21" t="str">
        <f aca="false">IF($L148="","",MIN($L148/$M148,0.95))</f>
        <v/>
      </c>
      <c r="O148" s="20" t="str">
        <f aca="false">IF($L148="","",$L148*Assumptions!$C$17*12/52)</f>
        <v/>
      </c>
      <c r="P148" s="22" t="str">
        <f aca="false">IF($L148="","",14*((2*Assumptions!$C$23*($N148*(1-$N148)+$N148*(1+Assumptions!$C$11)*(1-$N148*(1+Assumptions!$C$11)))/($N148*Assumptions!$C$11)^2/Assumptions!$C$14)/($M148*Assumptions!$C$24))^(1/Assumptions!$C$16)/7)</f>
        <v/>
      </c>
      <c r="Q148" s="22" t="str">
        <f aca="false">IF($L148="","",14*((2*Assumptions!$C$23*($N148*(1-$N148)+$N148*(1+Assumptions!$C$12)*(1-$N148*(1+Assumptions!$C$12)))/($N148*Assumptions!$C$12)^2/Assumptions!$C$14)/($M148*Assumptions!$C$24))^(1/Assumptions!$C$16)/7)</f>
        <v/>
      </c>
      <c r="R148" s="22" t="str">
        <f aca="false">IF($L148="","",14*((2*Assumptions!$C$23*($N148*(1-$N148)+$N148*(1+Assumptions!$C$13)*(1-$N148*(1+Assumptions!$C$13)))/($N148*Assumptions!$C$13)^2/Assumptions!$C$14)/($M148*Assumptions!$C$24))^(1/Assumptions!$C$16)/7)</f>
        <v/>
      </c>
      <c r="S148" s="23" t="str">
        <f aca="false">IF($L148="","",IF($P148&lt;=Assumptions!$C$9,"Tier 1",IF($P148&lt;=Assumptions!$C$10,"Tier 1 (3-wk)",IF($Q148&lt;=Assumptions!$C$10,"Tier 2",IF($R148&lt;=Assumptions!$C$10,"Tier 3",IF(AND($H148&lt;&gt;"",14*((2*Assumptions!$C$23*(MIN($H148*52/12/$M148,0.95)*(1-MIN($H148*52/12/$M148,0.95))+MIN($H148*52/12/$M148,0.95)*(1+Assumptions!$C$12)*(1-MIN($H148*52/12/$M148,0.95)*(1+Assumptions!$C$12)))/(MIN($H148*52/12/$M148,0.95)*Assumptions!$C$12)^2/Assumptions!$C$14)/($M148*Assumptions!$C$24))^(1/Assumptions!$C$16)/7&lt;=Assumptions!$C$10),"Not a fit — micro-conversion tests only","Not a fit"))))))</f>
        <v/>
      </c>
      <c r="T148" s="18" t="str">
        <f aca="false">IF($S148="","",IF(LEFT($S148,6)="Tier 1","Pursue — trial + fast programme: 5% lifts read in 2–3 weeks",IF($S148="Tier 2","Qualify — bold tests only (10%+ lifts); funnel-wide, 3-week reads",IF($S148="Tier 3","Deprioritise — only exceptional (20%) changes read in 3 weeks",IF($S148="Not a fit","Do not trial A/B — purchase tests cannot read in 3 weeks","Trial only if tests are scored on CTA clicks / leads, not purchases")))))</f>
        <v/>
      </c>
      <c r="U148" s="19" t="str">
        <f aca="false">IF($L148="","",$L148*Assumptions!$C$17*$K148*12/1000000)</f>
        <v/>
      </c>
    </row>
    <row r="149" customFormat="false" ht="15" hidden="false" customHeight="false" outlineLevel="0" collapsed="false">
      <c r="A149" s="14"/>
      <c r="B149" s="14"/>
      <c r="C149" s="15"/>
      <c r="D149" s="15"/>
      <c r="E149" s="16"/>
      <c r="F149" s="16"/>
      <c r="G149" s="17"/>
      <c r="H149" s="15"/>
      <c r="I149" s="14"/>
      <c r="J149" s="18" t="str">
        <f aca="false">IF($C149&lt;&gt;"","Actual orders",IF($E149&lt;&gt;"","Est. from revenue",IF($D149&lt;&gt;"","Est. from traffic × CVR","")))</f>
        <v/>
      </c>
      <c r="K149" s="19" t="n">
        <f aca="false">IF($F149&lt;&gt;"",$F149,IFERROR(INDEX(Assumptions!$D$28:$D$39,MATCH($B149,Assumptions!$B$28:$B$39,0)),Assumptions!$C$19))</f>
        <v>250</v>
      </c>
      <c r="L149" s="20" t="str">
        <f aca="false">IF($C149&lt;&gt;"",$C149/Assumptions!$C$17,IF($E149&lt;&gt;"",$E149*1000000/12/$K149/Assumptions!$C$17,IF($D149&lt;&gt;"",$D149*IF($G149&lt;&gt;"",$G149,IFERROR(INDEX(Assumptions!$C$28:$C$39,MATCH($B149,Assumptions!$B$28:$B$39,0)),Assumptions!$C$18)),"")))</f>
        <v/>
      </c>
      <c r="M149" s="20" t="str">
        <f aca="false">IF($L149="","",IF($D149&lt;&gt;"",$D149,$L149/IF($G149&lt;&gt;"",$G149,IFERROR(INDEX(Assumptions!$C$28:$C$39,MATCH($B149,Assumptions!$B$28:$B$39,0)),Assumptions!$C$18))))</f>
        <v/>
      </c>
      <c r="N149" s="21" t="str">
        <f aca="false">IF($L149="","",MIN($L149/$M149,0.95))</f>
        <v/>
      </c>
      <c r="O149" s="20" t="str">
        <f aca="false">IF($L149="","",$L149*Assumptions!$C$17*12/52)</f>
        <v/>
      </c>
      <c r="P149" s="22" t="str">
        <f aca="false">IF($L149="","",14*((2*Assumptions!$C$23*($N149*(1-$N149)+$N149*(1+Assumptions!$C$11)*(1-$N149*(1+Assumptions!$C$11)))/($N149*Assumptions!$C$11)^2/Assumptions!$C$14)/($M149*Assumptions!$C$24))^(1/Assumptions!$C$16)/7)</f>
        <v/>
      </c>
      <c r="Q149" s="22" t="str">
        <f aca="false">IF($L149="","",14*((2*Assumptions!$C$23*($N149*(1-$N149)+$N149*(1+Assumptions!$C$12)*(1-$N149*(1+Assumptions!$C$12)))/($N149*Assumptions!$C$12)^2/Assumptions!$C$14)/($M149*Assumptions!$C$24))^(1/Assumptions!$C$16)/7)</f>
        <v/>
      </c>
      <c r="R149" s="22" t="str">
        <f aca="false">IF($L149="","",14*((2*Assumptions!$C$23*($N149*(1-$N149)+$N149*(1+Assumptions!$C$13)*(1-$N149*(1+Assumptions!$C$13)))/($N149*Assumptions!$C$13)^2/Assumptions!$C$14)/($M149*Assumptions!$C$24))^(1/Assumptions!$C$16)/7)</f>
        <v/>
      </c>
      <c r="S149" s="23" t="str">
        <f aca="false">IF($L149="","",IF($P149&lt;=Assumptions!$C$9,"Tier 1",IF($P149&lt;=Assumptions!$C$10,"Tier 1 (3-wk)",IF($Q149&lt;=Assumptions!$C$10,"Tier 2",IF($R149&lt;=Assumptions!$C$10,"Tier 3",IF(AND($H149&lt;&gt;"",14*((2*Assumptions!$C$23*(MIN($H149*52/12/$M149,0.95)*(1-MIN($H149*52/12/$M149,0.95))+MIN($H149*52/12/$M149,0.95)*(1+Assumptions!$C$12)*(1-MIN($H149*52/12/$M149,0.95)*(1+Assumptions!$C$12)))/(MIN($H149*52/12/$M149,0.95)*Assumptions!$C$12)^2/Assumptions!$C$14)/($M149*Assumptions!$C$24))^(1/Assumptions!$C$16)/7&lt;=Assumptions!$C$10),"Not a fit — micro-conversion tests only","Not a fit"))))))</f>
        <v/>
      </c>
      <c r="T149" s="18" t="str">
        <f aca="false">IF($S149="","",IF(LEFT($S149,6)="Tier 1","Pursue — trial + fast programme: 5% lifts read in 2–3 weeks",IF($S149="Tier 2","Qualify — bold tests only (10%+ lifts); funnel-wide, 3-week reads",IF($S149="Tier 3","Deprioritise — only exceptional (20%) changes read in 3 weeks",IF($S149="Not a fit","Do not trial A/B — purchase tests cannot read in 3 weeks","Trial only if tests are scored on CTA clicks / leads, not purchases")))))</f>
        <v/>
      </c>
      <c r="U149" s="19" t="str">
        <f aca="false">IF($L149="","",$L149*Assumptions!$C$17*$K149*12/1000000)</f>
        <v/>
      </c>
    </row>
    <row r="150" customFormat="false" ht="15" hidden="false" customHeight="false" outlineLevel="0" collapsed="false">
      <c r="A150" s="14"/>
      <c r="B150" s="14"/>
      <c r="C150" s="15"/>
      <c r="D150" s="15"/>
      <c r="E150" s="16"/>
      <c r="F150" s="16"/>
      <c r="G150" s="17"/>
      <c r="H150" s="15"/>
      <c r="I150" s="14"/>
      <c r="J150" s="18" t="str">
        <f aca="false">IF($C150&lt;&gt;"","Actual orders",IF($E150&lt;&gt;"","Est. from revenue",IF($D150&lt;&gt;"","Est. from traffic × CVR","")))</f>
        <v/>
      </c>
      <c r="K150" s="19" t="n">
        <f aca="false">IF($F150&lt;&gt;"",$F150,IFERROR(INDEX(Assumptions!$D$28:$D$39,MATCH($B150,Assumptions!$B$28:$B$39,0)),Assumptions!$C$19))</f>
        <v>250</v>
      </c>
      <c r="L150" s="20" t="str">
        <f aca="false">IF($C150&lt;&gt;"",$C150/Assumptions!$C$17,IF($E150&lt;&gt;"",$E150*1000000/12/$K150/Assumptions!$C$17,IF($D150&lt;&gt;"",$D150*IF($G150&lt;&gt;"",$G150,IFERROR(INDEX(Assumptions!$C$28:$C$39,MATCH($B150,Assumptions!$B$28:$B$39,0)),Assumptions!$C$18)),"")))</f>
        <v/>
      </c>
      <c r="M150" s="20" t="str">
        <f aca="false">IF($L150="","",IF($D150&lt;&gt;"",$D150,$L150/IF($G150&lt;&gt;"",$G150,IFERROR(INDEX(Assumptions!$C$28:$C$39,MATCH($B150,Assumptions!$B$28:$B$39,0)),Assumptions!$C$18))))</f>
        <v/>
      </c>
      <c r="N150" s="21" t="str">
        <f aca="false">IF($L150="","",MIN($L150/$M150,0.95))</f>
        <v/>
      </c>
      <c r="O150" s="20" t="str">
        <f aca="false">IF($L150="","",$L150*Assumptions!$C$17*12/52)</f>
        <v/>
      </c>
      <c r="P150" s="22" t="str">
        <f aca="false">IF($L150="","",14*((2*Assumptions!$C$23*($N150*(1-$N150)+$N150*(1+Assumptions!$C$11)*(1-$N150*(1+Assumptions!$C$11)))/($N150*Assumptions!$C$11)^2/Assumptions!$C$14)/($M150*Assumptions!$C$24))^(1/Assumptions!$C$16)/7)</f>
        <v/>
      </c>
      <c r="Q150" s="22" t="str">
        <f aca="false">IF($L150="","",14*((2*Assumptions!$C$23*($N150*(1-$N150)+$N150*(1+Assumptions!$C$12)*(1-$N150*(1+Assumptions!$C$12)))/($N150*Assumptions!$C$12)^2/Assumptions!$C$14)/($M150*Assumptions!$C$24))^(1/Assumptions!$C$16)/7)</f>
        <v/>
      </c>
      <c r="R150" s="22" t="str">
        <f aca="false">IF($L150="","",14*((2*Assumptions!$C$23*($N150*(1-$N150)+$N150*(1+Assumptions!$C$13)*(1-$N150*(1+Assumptions!$C$13)))/($N150*Assumptions!$C$13)^2/Assumptions!$C$14)/($M150*Assumptions!$C$24))^(1/Assumptions!$C$16)/7)</f>
        <v/>
      </c>
      <c r="S150" s="23" t="str">
        <f aca="false">IF($L150="","",IF($P150&lt;=Assumptions!$C$9,"Tier 1",IF($P150&lt;=Assumptions!$C$10,"Tier 1 (3-wk)",IF($Q150&lt;=Assumptions!$C$10,"Tier 2",IF($R150&lt;=Assumptions!$C$10,"Tier 3",IF(AND($H150&lt;&gt;"",14*((2*Assumptions!$C$23*(MIN($H150*52/12/$M150,0.95)*(1-MIN($H150*52/12/$M150,0.95))+MIN($H150*52/12/$M150,0.95)*(1+Assumptions!$C$12)*(1-MIN($H150*52/12/$M150,0.95)*(1+Assumptions!$C$12)))/(MIN($H150*52/12/$M150,0.95)*Assumptions!$C$12)^2/Assumptions!$C$14)/($M150*Assumptions!$C$24))^(1/Assumptions!$C$16)/7&lt;=Assumptions!$C$10),"Not a fit — micro-conversion tests only","Not a fit"))))))</f>
        <v/>
      </c>
      <c r="T150" s="18" t="str">
        <f aca="false">IF($S150="","",IF(LEFT($S150,6)="Tier 1","Pursue — trial + fast programme: 5% lifts read in 2–3 weeks",IF($S150="Tier 2","Qualify — bold tests only (10%+ lifts); funnel-wide, 3-week reads",IF($S150="Tier 3","Deprioritise — only exceptional (20%) changes read in 3 weeks",IF($S150="Not a fit","Do not trial A/B — purchase tests cannot read in 3 weeks","Trial only if tests are scored on CTA clicks / leads, not purchases")))))</f>
        <v/>
      </c>
      <c r="U150" s="19" t="str">
        <f aca="false">IF($L150="","",$L150*Assumptions!$C$17*$K150*12/1000000)</f>
        <v/>
      </c>
    </row>
    <row r="151" customFormat="false" ht="15" hidden="false" customHeight="false" outlineLevel="0" collapsed="false">
      <c r="A151" s="14"/>
      <c r="B151" s="14"/>
      <c r="C151" s="15"/>
      <c r="D151" s="15"/>
      <c r="E151" s="16"/>
      <c r="F151" s="16"/>
      <c r="G151" s="17"/>
      <c r="H151" s="15"/>
      <c r="I151" s="14"/>
      <c r="J151" s="18" t="str">
        <f aca="false">IF($C151&lt;&gt;"","Actual orders",IF($E151&lt;&gt;"","Est. from revenue",IF($D151&lt;&gt;"","Est. from traffic × CVR","")))</f>
        <v/>
      </c>
      <c r="K151" s="19" t="n">
        <f aca="false">IF($F151&lt;&gt;"",$F151,IFERROR(INDEX(Assumptions!$D$28:$D$39,MATCH($B151,Assumptions!$B$28:$B$39,0)),Assumptions!$C$19))</f>
        <v>250</v>
      </c>
      <c r="L151" s="20" t="str">
        <f aca="false">IF($C151&lt;&gt;"",$C151/Assumptions!$C$17,IF($E151&lt;&gt;"",$E151*1000000/12/$K151/Assumptions!$C$17,IF($D151&lt;&gt;"",$D151*IF($G151&lt;&gt;"",$G151,IFERROR(INDEX(Assumptions!$C$28:$C$39,MATCH($B151,Assumptions!$B$28:$B$39,0)),Assumptions!$C$18)),"")))</f>
        <v/>
      </c>
      <c r="M151" s="20" t="str">
        <f aca="false">IF($L151="","",IF($D151&lt;&gt;"",$D151,$L151/IF($G151&lt;&gt;"",$G151,IFERROR(INDEX(Assumptions!$C$28:$C$39,MATCH($B151,Assumptions!$B$28:$B$39,0)),Assumptions!$C$18))))</f>
        <v/>
      </c>
      <c r="N151" s="21" t="str">
        <f aca="false">IF($L151="","",MIN($L151/$M151,0.95))</f>
        <v/>
      </c>
      <c r="O151" s="20" t="str">
        <f aca="false">IF($L151="","",$L151*Assumptions!$C$17*12/52)</f>
        <v/>
      </c>
      <c r="P151" s="22" t="str">
        <f aca="false">IF($L151="","",14*((2*Assumptions!$C$23*($N151*(1-$N151)+$N151*(1+Assumptions!$C$11)*(1-$N151*(1+Assumptions!$C$11)))/($N151*Assumptions!$C$11)^2/Assumptions!$C$14)/($M151*Assumptions!$C$24))^(1/Assumptions!$C$16)/7)</f>
        <v/>
      </c>
      <c r="Q151" s="22" t="str">
        <f aca="false">IF($L151="","",14*((2*Assumptions!$C$23*($N151*(1-$N151)+$N151*(1+Assumptions!$C$12)*(1-$N151*(1+Assumptions!$C$12)))/($N151*Assumptions!$C$12)^2/Assumptions!$C$14)/($M151*Assumptions!$C$24))^(1/Assumptions!$C$16)/7)</f>
        <v/>
      </c>
      <c r="R151" s="22" t="str">
        <f aca="false">IF($L151="","",14*((2*Assumptions!$C$23*($N151*(1-$N151)+$N151*(1+Assumptions!$C$13)*(1-$N151*(1+Assumptions!$C$13)))/($N151*Assumptions!$C$13)^2/Assumptions!$C$14)/($M151*Assumptions!$C$24))^(1/Assumptions!$C$16)/7)</f>
        <v/>
      </c>
      <c r="S151" s="23" t="str">
        <f aca="false">IF($L151="","",IF($P151&lt;=Assumptions!$C$9,"Tier 1",IF($P151&lt;=Assumptions!$C$10,"Tier 1 (3-wk)",IF($Q151&lt;=Assumptions!$C$10,"Tier 2",IF($R151&lt;=Assumptions!$C$10,"Tier 3",IF(AND($H151&lt;&gt;"",14*((2*Assumptions!$C$23*(MIN($H151*52/12/$M151,0.95)*(1-MIN($H151*52/12/$M151,0.95))+MIN($H151*52/12/$M151,0.95)*(1+Assumptions!$C$12)*(1-MIN($H151*52/12/$M151,0.95)*(1+Assumptions!$C$12)))/(MIN($H151*52/12/$M151,0.95)*Assumptions!$C$12)^2/Assumptions!$C$14)/($M151*Assumptions!$C$24))^(1/Assumptions!$C$16)/7&lt;=Assumptions!$C$10),"Not a fit — micro-conversion tests only","Not a fit"))))))</f>
        <v/>
      </c>
      <c r="T151" s="18" t="str">
        <f aca="false">IF($S151="","",IF(LEFT($S151,6)="Tier 1","Pursue — trial + fast programme: 5% lifts read in 2–3 weeks",IF($S151="Tier 2","Qualify — bold tests only (10%+ lifts); funnel-wide, 3-week reads",IF($S151="Tier 3","Deprioritise — only exceptional (20%) changes read in 3 weeks",IF($S151="Not a fit","Do not trial A/B — purchase tests cannot read in 3 weeks","Trial only if tests are scored on CTA clicks / leads, not purchases")))))</f>
        <v/>
      </c>
      <c r="U151" s="19" t="str">
        <f aca="false">IF($L151="","",$L151*Assumptions!$C$17*$K151*12/1000000)</f>
        <v/>
      </c>
    </row>
    <row r="152" customFormat="false" ht="15" hidden="false" customHeight="false" outlineLevel="0" collapsed="false">
      <c r="A152" s="14"/>
      <c r="B152" s="14"/>
      <c r="C152" s="15"/>
      <c r="D152" s="15"/>
      <c r="E152" s="16"/>
      <c r="F152" s="16"/>
      <c r="G152" s="17"/>
      <c r="H152" s="15"/>
      <c r="I152" s="14"/>
      <c r="J152" s="18" t="str">
        <f aca="false">IF($C152&lt;&gt;"","Actual orders",IF($E152&lt;&gt;"","Est. from revenue",IF($D152&lt;&gt;"","Est. from traffic × CVR","")))</f>
        <v/>
      </c>
      <c r="K152" s="19" t="n">
        <f aca="false">IF($F152&lt;&gt;"",$F152,IFERROR(INDEX(Assumptions!$D$28:$D$39,MATCH($B152,Assumptions!$B$28:$B$39,0)),Assumptions!$C$19))</f>
        <v>250</v>
      </c>
      <c r="L152" s="20" t="str">
        <f aca="false">IF($C152&lt;&gt;"",$C152/Assumptions!$C$17,IF($E152&lt;&gt;"",$E152*1000000/12/$K152/Assumptions!$C$17,IF($D152&lt;&gt;"",$D152*IF($G152&lt;&gt;"",$G152,IFERROR(INDEX(Assumptions!$C$28:$C$39,MATCH($B152,Assumptions!$B$28:$B$39,0)),Assumptions!$C$18)),"")))</f>
        <v/>
      </c>
      <c r="M152" s="20" t="str">
        <f aca="false">IF($L152="","",IF($D152&lt;&gt;"",$D152,$L152/IF($G152&lt;&gt;"",$G152,IFERROR(INDEX(Assumptions!$C$28:$C$39,MATCH($B152,Assumptions!$B$28:$B$39,0)),Assumptions!$C$18))))</f>
        <v/>
      </c>
      <c r="N152" s="21" t="str">
        <f aca="false">IF($L152="","",MIN($L152/$M152,0.95))</f>
        <v/>
      </c>
      <c r="O152" s="20" t="str">
        <f aca="false">IF($L152="","",$L152*Assumptions!$C$17*12/52)</f>
        <v/>
      </c>
      <c r="P152" s="22" t="str">
        <f aca="false">IF($L152="","",14*((2*Assumptions!$C$23*($N152*(1-$N152)+$N152*(1+Assumptions!$C$11)*(1-$N152*(1+Assumptions!$C$11)))/($N152*Assumptions!$C$11)^2/Assumptions!$C$14)/($M152*Assumptions!$C$24))^(1/Assumptions!$C$16)/7)</f>
        <v/>
      </c>
      <c r="Q152" s="22" t="str">
        <f aca="false">IF($L152="","",14*((2*Assumptions!$C$23*($N152*(1-$N152)+$N152*(1+Assumptions!$C$12)*(1-$N152*(1+Assumptions!$C$12)))/($N152*Assumptions!$C$12)^2/Assumptions!$C$14)/($M152*Assumptions!$C$24))^(1/Assumptions!$C$16)/7)</f>
        <v/>
      </c>
      <c r="R152" s="22" t="str">
        <f aca="false">IF($L152="","",14*((2*Assumptions!$C$23*($N152*(1-$N152)+$N152*(1+Assumptions!$C$13)*(1-$N152*(1+Assumptions!$C$13)))/($N152*Assumptions!$C$13)^2/Assumptions!$C$14)/($M152*Assumptions!$C$24))^(1/Assumptions!$C$16)/7)</f>
        <v/>
      </c>
      <c r="S152" s="23" t="str">
        <f aca="false">IF($L152="","",IF($P152&lt;=Assumptions!$C$9,"Tier 1",IF($P152&lt;=Assumptions!$C$10,"Tier 1 (3-wk)",IF($Q152&lt;=Assumptions!$C$10,"Tier 2",IF($R152&lt;=Assumptions!$C$10,"Tier 3",IF(AND($H152&lt;&gt;"",14*((2*Assumptions!$C$23*(MIN($H152*52/12/$M152,0.95)*(1-MIN($H152*52/12/$M152,0.95))+MIN($H152*52/12/$M152,0.95)*(1+Assumptions!$C$12)*(1-MIN($H152*52/12/$M152,0.95)*(1+Assumptions!$C$12)))/(MIN($H152*52/12/$M152,0.95)*Assumptions!$C$12)^2/Assumptions!$C$14)/($M152*Assumptions!$C$24))^(1/Assumptions!$C$16)/7&lt;=Assumptions!$C$10),"Not a fit — micro-conversion tests only","Not a fit"))))))</f>
        <v/>
      </c>
      <c r="T152" s="18" t="str">
        <f aca="false">IF($S152="","",IF(LEFT($S152,6)="Tier 1","Pursue — trial + fast programme: 5% lifts read in 2–3 weeks",IF($S152="Tier 2","Qualify — bold tests only (10%+ lifts); funnel-wide, 3-week reads",IF($S152="Tier 3","Deprioritise — only exceptional (20%) changes read in 3 weeks",IF($S152="Not a fit","Do not trial A/B — purchase tests cannot read in 3 weeks","Trial only if tests are scored on CTA clicks / leads, not purchases")))))</f>
        <v/>
      </c>
      <c r="U152" s="19" t="str">
        <f aca="false">IF($L152="","",$L152*Assumptions!$C$17*$K152*12/1000000)</f>
        <v/>
      </c>
    </row>
    <row r="153" customFormat="false" ht="15" hidden="false" customHeight="false" outlineLevel="0" collapsed="false">
      <c r="A153" s="14"/>
      <c r="B153" s="14"/>
      <c r="C153" s="15"/>
      <c r="D153" s="15"/>
      <c r="E153" s="16"/>
      <c r="F153" s="16"/>
      <c r="G153" s="17"/>
      <c r="H153" s="15"/>
      <c r="I153" s="14"/>
      <c r="J153" s="18" t="str">
        <f aca="false">IF($C153&lt;&gt;"","Actual orders",IF($E153&lt;&gt;"","Est. from revenue",IF($D153&lt;&gt;"","Est. from traffic × CVR","")))</f>
        <v/>
      </c>
      <c r="K153" s="19" t="n">
        <f aca="false">IF($F153&lt;&gt;"",$F153,IFERROR(INDEX(Assumptions!$D$28:$D$39,MATCH($B153,Assumptions!$B$28:$B$39,0)),Assumptions!$C$19))</f>
        <v>250</v>
      </c>
      <c r="L153" s="20" t="str">
        <f aca="false">IF($C153&lt;&gt;"",$C153/Assumptions!$C$17,IF($E153&lt;&gt;"",$E153*1000000/12/$K153/Assumptions!$C$17,IF($D153&lt;&gt;"",$D153*IF($G153&lt;&gt;"",$G153,IFERROR(INDEX(Assumptions!$C$28:$C$39,MATCH($B153,Assumptions!$B$28:$B$39,0)),Assumptions!$C$18)),"")))</f>
        <v/>
      </c>
      <c r="M153" s="20" t="str">
        <f aca="false">IF($L153="","",IF($D153&lt;&gt;"",$D153,$L153/IF($G153&lt;&gt;"",$G153,IFERROR(INDEX(Assumptions!$C$28:$C$39,MATCH($B153,Assumptions!$B$28:$B$39,0)),Assumptions!$C$18))))</f>
        <v/>
      </c>
      <c r="N153" s="21" t="str">
        <f aca="false">IF($L153="","",MIN($L153/$M153,0.95))</f>
        <v/>
      </c>
      <c r="O153" s="20" t="str">
        <f aca="false">IF($L153="","",$L153*Assumptions!$C$17*12/52)</f>
        <v/>
      </c>
      <c r="P153" s="22" t="str">
        <f aca="false">IF($L153="","",14*((2*Assumptions!$C$23*($N153*(1-$N153)+$N153*(1+Assumptions!$C$11)*(1-$N153*(1+Assumptions!$C$11)))/($N153*Assumptions!$C$11)^2/Assumptions!$C$14)/($M153*Assumptions!$C$24))^(1/Assumptions!$C$16)/7)</f>
        <v/>
      </c>
      <c r="Q153" s="22" t="str">
        <f aca="false">IF($L153="","",14*((2*Assumptions!$C$23*($N153*(1-$N153)+$N153*(1+Assumptions!$C$12)*(1-$N153*(1+Assumptions!$C$12)))/($N153*Assumptions!$C$12)^2/Assumptions!$C$14)/($M153*Assumptions!$C$24))^(1/Assumptions!$C$16)/7)</f>
        <v/>
      </c>
      <c r="R153" s="22" t="str">
        <f aca="false">IF($L153="","",14*((2*Assumptions!$C$23*($N153*(1-$N153)+$N153*(1+Assumptions!$C$13)*(1-$N153*(1+Assumptions!$C$13)))/($N153*Assumptions!$C$13)^2/Assumptions!$C$14)/($M153*Assumptions!$C$24))^(1/Assumptions!$C$16)/7)</f>
        <v/>
      </c>
      <c r="S153" s="23" t="str">
        <f aca="false">IF($L153="","",IF($P153&lt;=Assumptions!$C$9,"Tier 1",IF($P153&lt;=Assumptions!$C$10,"Tier 1 (3-wk)",IF($Q153&lt;=Assumptions!$C$10,"Tier 2",IF($R153&lt;=Assumptions!$C$10,"Tier 3",IF(AND($H153&lt;&gt;"",14*((2*Assumptions!$C$23*(MIN($H153*52/12/$M153,0.95)*(1-MIN($H153*52/12/$M153,0.95))+MIN($H153*52/12/$M153,0.95)*(1+Assumptions!$C$12)*(1-MIN($H153*52/12/$M153,0.95)*(1+Assumptions!$C$12)))/(MIN($H153*52/12/$M153,0.95)*Assumptions!$C$12)^2/Assumptions!$C$14)/($M153*Assumptions!$C$24))^(1/Assumptions!$C$16)/7&lt;=Assumptions!$C$10),"Not a fit — micro-conversion tests only","Not a fit"))))))</f>
        <v/>
      </c>
      <c r="T153" s="18" t="str">
        <f aca="false">IF($S153="","",IF(LEFT($S153,6)="Tier 1","Pursue — trial + fast programme: 5% lifts read in 2–3 weeks",IF($S153="Tier 2","Qualify — bold tests only (10%+ lifts); funnel-wide, 3-week reads",IF($S153="Tier 3","Deprioritise — only exceptional (20%) changes read in 3 weeks",IF($S153="Not a fit","Do not trial A/B — purchase tests cannot read in 3 weeks","Trial only if tests are scored on CTA clicks / leads, not purchases")))))</f>
        <v/>
      </c>
      <c r="U153" s="19" t="str">
        <f aca="false">IF($L153="","",$L153*Assumptions!$C$17*$K153*12/1000000)</f>
        <v/>
      </c>
    </row>
    <row r="154" customFormat="false" ht="15" hidden="false" customHeight="false" outlineLevel="0" collapsed="false">
      <c r="A154" s="14"/>
      <c r="B154" s="14"/>
      <c r="C154" s="15"/>
      <c r="D154" s="15"/>
      <c r="E154" s="16"/>
      <c r="F154" s="16"/>
      <c r="G154" s="17"/>
      <c r="H154" s="15"/>
      <c r="I154" s="14"/>
      <c r="J154" s="18" t="str">
        <f aca="false">IF($C154&lt;&gt;"","Actual orders",IF($E154&lt;&gt;"","Est. from revenue",IF($D154&lt;&gt;"","Est. from traffic × CVR","")))</f>
        <v/>
      </c>
      <c r="K154" s="19" t="n">
        <f aca="false">IF($F154&lt;&gt;"",$F154,IFERROR(INDEX(Assumptions!$D$28:$D$39,MATCH($B154,Assumptions!$B$28:$B$39,0)),Assumptions!$C$19))</f>
        <v>250</v>
      </c>
      <c r="L154" s="20" t="str">
        <f aca="false">IF($C154&lt;&gt;"",$C154/Assumptions!$C$17,IF($E154&lt;&gt;"",$E154*1000000/12/$K154/Assumptions!$C$17,IF($D154&lt;&gt;"",$D154*IF($G154&lt;&gt;"",$G154,IFERROR(INDEX(Assumptions!$C$28:$C$39,MATCH($B154,Assumptions!$B$28:$B$39,0)),Assumptions!$C$18)),"")))</f>
        <v/>
      </c>
      <c r="M154" s="20" t="str">
        <f aca="false">IF($L154="","",IF($D154&lt;&gt;"",$D154,$L154/IF($G154&lt;&gt;"",$G154,IFERROR(INDEX(Assumptions!$C$28:$C$39,MATCH($B154,Assumptions!$B$28:$B$39,0)),Assumptions!$C$18))))</f>
        <v/>
      </c>
      <c r="N154" s="21" t="str">
        <f aca="false">IF($L154="","",MIN($L154/$M154,0.95))</f>
        <v/>
      </c>
      <c r="O154" s="20" t="str">
        <f aca="false">IF($L154="","",$L154*Assumptions!$C$17*12/52)</f>
        <v/>
      </c>
      <c r="P154" s="22" t="str">
        <f aca="false">IF($L154="","",14*((2*Assumptions!$C$23*($N154*(1-$N154)+$N154*(1+Assumptions!$C$11)*(1-$N154*(1+Assumptions!$C$11)))/($N154*Assumptions!$C$11)^2/Assumptions!$C$14)/($M154*Assumptions!$C$24))^(1/Assumptions!$C$16)/7)</f>
        <v/>
      </c>
      <c r="Q154" s="22" t="str">
        <f aca="false">IF($L154="","",14*((2*Assumptions!$C$23*($N154*(1-$N154)+$N154*(1+Assumptions!$C$12)*(1-$N154*(1+Assumptions!$C$12)))/($N154*Assumptions!$C$12)^2/Assumptions!$C$14)/($M154*Assumptions!$C$24))^(1/Assumptions!$C$16)/7)</f>
        <v/>
      </c>
      <c r="R154" s="22" t="str">
        <f aca="false">IF($L154="","",14*((2*Assumptions!$C$23*($N154*(1-$N154)+$N154*(1+Assumptions!$C$13)*(1-$N154*(1+Assumptions!$C$13)))/($N154*Assumptions!$C$13)^2/Assumptions!$C$14)/($M154*Assumptions!$C$24))^(1/Assumptions!$C$16)/7)</f>
        <v/>
      </c>
      <c r="S154" s="23" t="str">
        <f aca="false">IF($L154="","",IF($P154&lt;=Assumptions!$C$9,"Tier 1",IF($P154&lt;=Assumptions!$C$10,"Tier 1 (3-wk)",IF($Q154&lt;=Assumptions!$C$10,"Tier 2",IF($R154&lt;=Assumptions!$C$10,"Tier 3",IF(AND($H154&lt;&gt;"",14*((2*Assumptions!$C$23*(MIN($H154*52/12/$M154,0.95)*(1-MIN($H154*52/12/$M154,0.95))+MIN($H154*52/12/$M154,0.95)*(1+Assumptions!$C$12)*(1-MIN($H154*52/12/$M154,0.95)*(1+Assumptions!$C$12)))/(MIN($H154*52/12/$M154,0.95)*Assumptions!$C$12)^2/Assumptions!$C$14)/($M154*Assumptions!$C$24))^(1/Assumptions!$C$16)/7&lt;=Assumptions!$C$10),"Not a fit — micro-conversion tests only","Not a fit"))))))</f>
        <v/>
      </c>
      <c r="T154" s="18" t="str">
        <f aca="false">IF($S154="","",IF(LEFT($S154,6)="Tier 1","Pursue — trial + fast programme: 5% lifts read in 2–3 weeks",IF($S154="Tier 2","Qualify — bold tests only (10%+ lifts); funnel-wide, 3-week reads",IF($S154="Tier 3","Deprioritise — only exceptional (20%) changes read in 3 weeks",IF($S154="Not a fit","Do not trial A/B — purchase tests cannot read in 3 weeks","Trial only if tests are scored on CTA clicks / leads, not purchases")))))</f>
        <v/>
      </c>
      <c r="U154" s="19" t="str">
        <f aca="false">IF($L154="","",$L154*Assumptions!$C$17*$K154*12/1000000)</f>
        <v/>
      </c>
    </row>
  </sheetData>
  <autoFilter ref="A4:U154"/>
  <conditionalFormatting sqref="S5:S154">
    <cfRule type="expression" priority="2" aboveAverage="0" equalAverage="0" bottom="0" percent="0" rank="0" text="" dxfId="10">
      <formula>LEFT($S5,9)="Not a fit"</formula>
    </cfRule>
    <cfRule type="expression" priority="3" aboveAverage="0" equalAverage="0" bottom="0" percent="0" rank="0" text="" dxfId="11">
      <formula>LEFT($S5,6)="Tier 1"</formula>
    </cfRule>
    <cfRule type="expression" priority="4" aboveAverage="0" equalAverage="0" bottom="0" percent="0" rank="0" text="" dxfId="12">
      <formula>LEFT($S5,6)="Tier 2"</formula>
    </cfRule>
    <cfRule type="expression" priority="5" aboveAverage="0" equalAverage="0" bottom="0" percent="0" rank="0" text="" dxfId="13">
      <formula>LEFT($S5,6)="Tier 3"</formula>
    </cfRule>
  </conditionalFormatting>
  <conditionalFormatting sqref="P5:R154">
    <cfRule type="expression" priority="6" aboveAverage="0" equalAverage="0" bottom="0" percent="0" rank="0" text="" dxfId="14">
      <formula>AND(P5&lt;&gt;"",P5&gt;Assumptions!$C$10)</formula>
    </cfRule>
    <cfRule type="expression" priority="7" aboveAverage="0" equalAverage="0" bottom="0" percent="0" rank="0" text="" dxfId="15">
      <formula>AND(P5&lt;&gt;"",P5&lt;=Assumptions!$C$9)</formula>
    </cfRule>
  </conditionalFormatting>
  <dataValidations count="1">
    <dataValidation allowBlank="true" errorStyle="stop" operator="between" showDropDown="false" showErrorMessage="false" showInputMessage="false" sqref="B5:B154" type="list">
      <formula1>Assumptions!$B$28:$B$39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U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8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8" min="16" style="0" width="8"/>
    <col collapsed="false" customWidth="true" hidden="false" outlineLevel="0" max="19" min="19" style="0" width="15"/>
    <col collapsed="false" customWidth="true" hidden="false" outlineLevel="0" max="20" min="20" style="0" width="11"/>
    <col collapsed="false" customWidth="true" hidden="false" outlineLevel="0" max="21" min="21" style="0" width="50"/>
  </cols>
  <sheetData>
    <row r="1" customFormat="false" ht="19.7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43.5" hidden="false" customHeight="true" outlineLevel="0" collapsed="false">
      <c r="A4" s="12" t="s">
        <v>81</v>
      </c>
      <c r="B4" s="12" t="s">
        <v>45</v>
      </c>
      <c r="C4" s="12" t="s">
        <v>82</v>
      </c>
      <c r="D4" s="12" t="s">
        <v>83</v>
      </c>
      <c r="E4" s="12" t="s">
        <v>84</v>
      </c>
      <c r="F4" s="12" t="s">
        <v>85</v>
      </c>
      <c r="G4" s="12" t="s">
        <v>86</v>
      </c>
      <c r="H4" s="12" t="s">
        <v>87</v>
      </c>
      <c r="I4" s="12" t="s">
        <v>88</v>
      </c>
      <c r="J4" s="12" t="s">
        <v>49</v>
      </c>
      <c r="K4" s="12" t="s">
        <v>89</v>
      </c>
      <c r="L4" s="12" t="s">
        <v>90</v>
      </c>
      <c r="M4" s="12" t="s">
        <v>91</v>
      </c>
      <c r="N4" s="12" t="s">
        <v>92</v>
      </c>
      <c r="O4" s="12" t="s">
        <v>93</v>
      </c>
      <c r="P4" s="12" t="s">
        <v>94</v>
      </c>
      <c r="Q4" s="12" t="s">
        <v>95</v>
      </c>
      <c r="R4" s="12" t="s">
        <v>96</v>
      </c>
      <c r="S4" s="12" t="s">
        <v>62</v>
      </c>
      <c r="T4" s="12" t="s">
        <v>97</v>
      </c>
      <c r="U4" s="12" t="s">
        <v>98</v>
      </c>
    </row>
    <row r="5" customFormat="false" ht="30" hidden="false" customHeight="true" outlineLevel="0" collapsed="false">
      <c r="A5" s="14" t="s">
        <v>99</v>
      </c>
      <c r="B5" s="14" t="s">
        <v>68</v>
      </c>
      <c r="C5" s="14" t="s">
        <v>100</v>
      </c>
      <c r="D5" s="15" t="n">
        <v>2757319</v>
      </c>
      <c r="E5" s="15" t="n">
        <v>1410680</v>
      </c>
      <c r="F5" s="15" t="n">
        <v>791264</v>
      </c>
      <c r="G5" s="15" t="n">
        <v>79793</v>
      </c>
      <c r="H5" s="15" t="n">
        <v>39212</v>
      </c>
      <c r="I5" s="15" t="n">
        <v>91064</v>
      </c>
      <c r="J5" s="16" t="n">
        <v>127.6</v>
      </c>
      <c r="K5" s="14" t="s">
        <v>101</v>
      </c>
      <c r="L5" s="21" t="n">
        <f aca="false">H5/E5</f>
        <v>0.0277965236623472</v>
      </c>
      <c r="M5" s="28" t="n">
        <f aca="false">MIN(1,MAX(0.5,LN(E5/F5)/LN(2)))</f>
        <v>0.834159736939781</v>
      </c>
      <c r="N5" s="20" t="n">
        <f aca="false">H5/2</f>
        <v>19606</v>
      </c>
      <c r="O5" s="20" t="n">
        <f aca="false">H5/2*I5/G5</f>
        <v>22375.4061634479</v>
      </c>
      <c r="P5" s="22" t="n">
        <f aca="false">14*((2*Assumptions!$C$23*(L5*(1-L5)+L5*(1+Assumptions!$C$11)*(1-L5*(1+Assumptions!$C$11)))/(L5*Assumptions!$C$11)^2/Assumptions!$C$14)/E5)^(1/M5)/7</f>
        <v>0.508189811306</v>
      </c>
      <c r="Q5" s="22" t="n">
        <f aca="false">14*((2*Assumptions!$C$23*(L5*(1-L5)+L5*(1+Assumptions!$C$12)*(1-L5*(1+Assumptions!$C$12)))/(L5*Assumptions!$C$12)^2/Assumptions!$C$14)/E5)^(1/M5)/7</f>
        <v>0.0991783422885905</v>
      </c>
      <c r="R5" s="22" t="n">
        <f aca="false">14*((2*Assumptions!$C$23*(L5*(1-L5)+L5*(1+Assumptions!$C$13)*(1-L5*(1+Assumptions!$C$13)))/(L5*Assumptions!$C$13)^2/Assumptions!$C$14)/E5)^(1/M5)/7</f>
        <v>0.0198625285925648</v>
      </c>
      <c r="S5" s="23" t="str">
        <f aca="false">IF(P5&lt;=Assumptions!$C$9,"Tier 1",IF(P5&lt;=Assumptions!$C$10,"Tier 1 (3-wk)",IF(Q5&lt;=Assumptions!$C$10,"Tier 2",IF(R5&lt;=Assumptions!$C$10,"Tier 3","Not a fit"))))</f>
        <v>Tier 1</v>
      </c>
      <c r="T5" s="29" t="n">
        <f aca="false">I5*J5*365/30/1000000</f>
        <v>141.373824533333</v>
      </c>
      <c r="U5" s="30" t="s">
        <v>102</v>
      </c>
    </row>
    <row r="6" customFormat="false" ht="30" hidden="false" customHeight="true" outlineLevel="0" collapsed="false">
      <c r="A6" s="14" t="s">
        <v>103</v>
      </c>
      <c r="B6" s="14" t="s">
        <v>68</v>
      </c>
      <c r="C6" s="14" t="s">
        <v>104</v>
      </c>
      <c r="D6" s="15" t="n">
        <v>354438</v>
      </c>
      <c r="E6" s="15" t="n">
        <v>260786</v>
      </c>
      <c r="F6" s="15" t="n">
        <v>159327</v>
      </c>
      <c r="G6" s="15" t="n">
        <v>22196</v>
      </c>
      <c r="H6" s="15" t="n">
        <v>18799</v>
      </c>
      <c r="I6" s="15" t="n">
        <v>19625</v>
      </c>
      <c r="J6" s="16" t="n">
        <v>293.34</v>
      </c>
      <c r="K6" s="14" t="s">
        <v>101</v>
      </c>
      <c r="L6" s="21" t="n">
        <f aca="false">H6/E6</f>
        <v>0.0720859248579295</v>
      </c>
      <c r="M6" s="28" t="n">
        <f aca="false">MIN(1,MAX(0.5,LN(E6/F6)/LN(2)))</f>
        <v>0.710875651477966</v>
      </c>
      <c r="N6" s="20" t="n">
        <f aca="false">H6/2</f>
        <v>9399.5</v>
      </c>
      <c r="O6" s="20" t="n">
        <f aca="false">H6/2*I6/G6</f>
        <v>8310.74011083078</v>
      </c>
      <c r="P6" s="22" t="n">
        <f aca="false">14*((2*Assumptions!$C$23*(L6*(1-L6)+L6*(1+Assumptions!$C$11)*(1-L6*(1+Assumptions!$C$11)))/(L6*Assumptions!$C$11)^2/Assumptions!$C$14)/E6)^(1/M6)/7</f>
        <v>1.05371906378264</v>
      </c>
      <c r="Q6" s="22" t="n">
        <f aca="false">14*((2*Assumptions!$C$23*(L6*(1-L6)+L6*(1+Assumptions!$C$12)*(1-L6*(1+Assumptions!$C$12)))/(L6*Assumptions!$C$12)^2/Assumptions!$C$14)/E6)^(1/M6)/7</f>
        <v>0.15461264011991</v>
      </c>
      <c r="R6" s="22" t="n">
        <f aca="false">14*((2*Assumptions!$C$23*(L6*(1-L6)+L6*(1+Assumptions!$C$13)*(1-L6*(1+Assumptions!$C$13)))/(L6*Assumptions!$C$13)^2/Assumptions!$C$14)/E6)^(1/M6)/7</f>
        <v>0.0233361734073154</v>
      </c>
      <c r="S6" s="23" t="str">
        <f aca="false">IF(P6&lt;=Assumptions!$C$9,"Tier 1",IF(P6&lt;=Assumptions!$C$10,"Tier 1 (3-wk)",IF(Q6&lt;=Assumptions!$C$10,"Tier 2",IF(R6&lt;=Assumptions!$C$10,"Tier 3","Not a fit"))))</f>
        <v>Tier 1</v>
      </c>
      <c r="T6" s="29" t="n">
        <f aca="false">I6*J6*365/30/1000000</f>
        <v>70.04103625</v>
      </c>
      <c r="U6" s="30" t="s">
        <v>105</v>
      </c>
    </row>
    <row r="7" customFormat="false" ht="30" hidden="false" customHeight="true" outlineLevel="0" collapsed="false">
      <c r="A7" s="14" t="s">
        <v>106</v>
      </c>
      <c r="B7" s="14" t="s">
        <v>68</v>
      </c>
      <c r="C7" s="14" t="s">
        <v>107</v>
      </c>
      <c r="D7" s="15" t="n">
        <v>314315</v>
      </c>
      <c r="E7" s="15" t="n">
        <v>186606</v>
      </c>
      <c r="F7" s="15" t="n">
        <v>97674</v>
      </c>
      <c r="G7" s="15" t="n">
        <v>27277</v>
      </c>
      <c r="H7" s="15" t="n">
        <v>15242</v>
      </c>
      <c r="I7" s="15" t="n">
        <v>29033</v>
      </c>
      <c r="J7" s="16" t="n">
        <v>339.65</v>
      </c>
      <c r="K7" s="14" t="s">
        <v>108</v>
      </c>
      <c r="L7" s="21" t="n">
        <f aca="false">H7/E7</f>
        <v>0.0816801174667481</v>
      </c>
      <c r="M7" s="28" t="n">
        <f aca="false">MIN(1,MAX(0.5,LN(E7/F7)/LN(2)))</f>
        <v>0.933948889267286</v>
      </c>
      <c r="N7" s="20" t="n">
        <f aca="false">H7/2</f>
        <v>7621</v>
      </c>
      <c r="O7" s="20" t="n">
        <f aca="false">H7/2*I7/G7</f>
        <v>8111.6139238186</v>
      </c>
      <c r="P7" s="22" t="n">
        <f aca="false">14*((2*Assumptions!$C$23*(L7*(1-L7)+L7*(1+Assumptions!$C$11)*(1-L7*(1+Assumptions!$C$11)))/(L7*Assumptions!$C$11)^2/Assumptions!$C$14)/E7)^(1/M7)/7</f>
        <v>1.51972711082828</v>
      </c>
      <c r="Q7" s="22" t="n">
        <f aca="false">14*((2*Assumptions!$C$23*(L7*(1-L7)+L7*(1+Assumptions!$C$12)*(1-L7*(1+Assumptions!$C$12)))/(L7*Assumptions!$C$12)^2/Assumptions!$C$14)/E7)^(1/M7)/7</f>
        <v>0.352550183632168</v>
      </c>
      <c r="R7" s="22" t="n">
        <f aca="false">14*((2*Assumptions!$C$23*(L7*(1-L7)+L7*(1+Assumptions!$C$13)*(1-L7*(1+Assumptions!$C$13)))/(L7*Assumptions!$C$13)^2/Assumptions!$C$14)/E7)^(1/M7)/7</f>
        <v>0.0835317406514162</v>
      </c>
      <c r="S7" s="23" t="str">
        <f aca="false">IF(P7&lt;=Assumptions!$C$9,"Tier 1",IF(P7&lt;=Assumptions!$C$10,"Tier 1 (3-wk)",IF(Q7&lt;=Assumptions!$C$10,"Tier 2",IF(R7&lt;=Assumptions!$C$10,"Tier 3","Not a fit"))))</f>
        <v>Tier 1</v>
      </c>
      <c r="T7" s="29" t="n">
        <f aca="false">I7*J7*365/30/1000000</f>
        <v>119.976211141667</v>
      </c>
      <c r="U7" s="30" t="s">
        <v>109</v>
      </c>
    </row>
    <row r="8" customFormat="false" ht="30" hidden="false" customHeight="true" outlineLevel="0" collapsed="false">
      <c r="A8" s="14" t="s">
        <v>110</v>
      </c>
      <c r="B8" s="14" t="s">
        <v>76</v>
      </c>
      <c r="C8" s="14" t="s">
        <v>111</v>
      </c>
      <c r="D8" s="15" t="n">
        <v>222949</v>
      </c>
      <c r="E8" s="15" t="n">
        <v>121109</v>
      </c>
      <c r="F8" s="15" t="n">
        <v>68532</v>
      </c>
      <c r="G8" s="15" t="n">
        <v>25373</v>
      </c>
      <c r="H8" s="15" t="n">
        <v>13259</v>
      </c>
      <c r="I8" s="15" t="n">
        <v>33605</v>
      </c>
      <c r="J8" s="16" t="n">
        <v>201.31</v>
      </c>
      <c r="K8" s="14" t="s">
        <v>101</v>
      </c>
      <c r="L8" s="21" t="n">
        <f aca="false">H8/E8</f>
        <v>0.109479890016431</v>
      </c>
      <c r="M8" s="28" t="n">
        <f aca="false">MIN(1,MAX(0.5,LN(E8/F8)/LN(2)))</f>
        <v>0.82145638479217</v>
      </c>
      <c r="N8" s="20" t="n">
        <f aca="false">H8/2</f>
        <v>6629.5</v>
      </c>
      <c r="O8" s="20" t="n">
        <f aca="false">H8/2*I8/G8</f>
        <v>8780.37076813936</v>
      </c>
      <c r="P8" s="22" t="n">
        <f aca="false">14*((2*Assumptions!$C$23*(L8*(1-L8)+L8*(1+Assumptions!$C$11)*(1-L8*(1+Assumptions!$C$11)))/(L8*Assumptions!$C$11)^2/Assumptions!$C$14)/E8)^(1/M8)/7</f>
        <v>1.66881198044047</v>
      </c>
      <c r="Q8" s="22" t="n">
        <f aca="false">14*((2*Assumptions!$C$23*(L8*(1-L8)+L8*(1+Assumptions!$C$12)*(1-L8*(1+Assumptions!$C$12)))/(L8*Assumptions!$C$12)^2/Assumptions!$C$14)/E8)^(1/M8)/7</f>
        <v>0.316578417821842</v>
      </c>
      <c r="R8" s="22" t="n">
        <f aca="false">14*((2*Assumptions!$C$23*(L8*(1-L8)+L8*(1+Assumptions!$C$13)*(1-L8*(1+Assumptions!$C$13)))/(L8*Assumptions!$C$13)^2/Assumptions!$C$14)/E8)^(1/M8)/7</f>
        <v>0.0614377349878567</v>
      </c>
      <c r="S8" s="23" t="str">
        <f aca="false">IF(P8&lt;=Assumptions!$C$9,"Tier 1",IF(P8&lt;=Assumptions!$C$10,"Tier 1 (3-wk)",IF(Q8&lt;=Assumptions!$C$10,"Tier 2",IF(R8&lt;=Assumptions!$C$10,"Tier 3","Not a fit"))))</f>
        <v>Tier 1</v>
      </c>
      <c r="T8" s="29" t="n">
        <f aca="false">I8*J8*365/30/1000000</f>
        <v>82.3077743583333</v>
      </c>
      <c r="U8" s="30" t="s">
        <v>112</v>
      </c>
    </row>
    <row r="9" customFormat="false" ht="30" hidden="false" customHeight="true" outlineLevel="0" collapsed="false">
      <c r="A9" s="14" t="s">
        <v>113</v>
      </c>
      <c r="B9" s="14" t="s">
        <v>68</v>
      </c>
      <c r="C9" s="14" t="s">
        <v>114</v>
      </c>
      <c r="D9" s="15" t="n">
        <v>491417</v>
      </c>
      <c r="E9" s="15" t="n">
        <v>261241</v>
      </c>
      <c r="F9" s="15" t="n">
        <v>157756</v>
      </c>
      <c r="G9" s="15" t="n">
        <v>23020</v>
      </c>
      <c r="H9" s="15" t="n">
        <v>11340</v>
      </c>
      <c r="I9" s="15" t="n">
        <v>23020</v>
      </c>
      <c r="J9" s="16" t="n">
        <v>152.5</v>
      </c>
      <c r="K9" s="14" t="s">
        <v>108</v>
      </c>
      <c r="L9" s="21" t="n">
        <f aca="false">H9/E9</f>
        <v>0.0434081939664907</v>
      </c>
      <c r="M9" s="28" t="n">
        <f aca="false">MIN(1,MAX(0.5,LN(E9/F9)/LN(2)))</f>
        <v>0.727686458962547</v>
      </c>
      <c r="N9" s="20" t="n">
        <f aca="false">H9/2</f>
        <v>5670</v>
      </c>
      <c r="O9" s="20" t="n">
        <f aca="false">H9/2*I9/G9</f>
        <v>5670</v>
      </c>
      <c r="P9" s="22" t="n">
        <f aca="false">14*((2*Assumptions!$C$23*(L9*(1-L9)+L9*(1+Assumptions!$C$11)*(1-L9*(1+Assumptions!$C$11)))/(L9*Assumptions!$C$11)^2/Assumptions!$C$14)/E9)^(1/M9)/7</f>
        <v>2.23606852381557</v>
      </c>
      <c r="Q9" s="22" t="n">
        <f aca="false">14*((2*Assumptions!$C$23*(L9*(1-L9)+L9*(1+Assumptions!$C$12)*(1-L9*(1+Assumptions!$C$12)))/(L9*Assumptions!$C$12)^2/Assumptions!$C$14)/E9)^(1/M9)/7</f>
        <v>0.34338298401554</v>
      </c>
      <c r="R9" s="22" t="n">
        <f aca="false">14*((2*Assumptions!$C$23*(L9*(1-L9)+L9*(1+Assumptions!$C$13)*(1-L9*(1+Assumptions!$C$13)))/(L9*Assumptions!$C$13)^2/Assumptions!$C$14)/E9)^(1/M9)/7</f>
        <v>0.054279936584119</v>
      </c>
      <c r="S9" s="23" t="str">
        <f aca="false">IF(P9&lt;=Assumptions!$C$9,"Tier 1",IF(P9&lt;=Assumptions!$C$10,"Tier 1 (3-wk)",IF(Q9&lt;=Assumptions!$C$10,"Tier 2",IF(R9&lt;=Assumptions!$C$10,"Tier 3","Not a fit"))))</f>
        <v>Tier 1 (3-wk)</v>
      </c>
      <c r="T9" s="29" t="n">
        <f aca="false">I9*J9*365/30/1000000</f>
        <v>42.7116916666667</v>
      </c>
      <c r="U9" s="30" t="s">
        <v>115</v>
      </c>
    </row>
    <row r="10" customFormat="false" ht="15.75" hidden="false" customHeight="true" outlineLevel="0" collapsed="false">
      <c r="A10" s="14" t="s">
        <v>116</v>
      </c>
      <c r="B10" s="14" t="s">
        <v>117</v>
      </c>
      <c r="C10" s="14" t="s">
        <v>118</v>
      </c>
      <c r="D10" s="15" t="n">
        <v>651844</v>
      </c>
      <c r="E10" s="15" t="n">
        <v>365072</v>
      </c>
      <c r="F10" s="15" t="n">
        <v>177449</v>
      </c>
      <c r="G10" s="15" t="n">
        <v>17875</v>
      </c>
      <c r="H10" s="15" t="n">
        <v>8151</v>
      </c>
      <c r="I10" s="15" t="n">
        <v>21043</v>
      </c>
      <c r="J10" s="16" t="n">
        <v>251.95</v>
      </c>
      <c r="K10" s="14" t="s">
        <v>101</v>
      </c>
      <c r="L10" s="21" t="n">
        <f aca="false">H10/E10</f>
        <v>0.0223271025989394</v>
      </c>
      <c r="M10" s="28" t="n">
        <f aca="false">MIN(1,MAX(0.5,LN(E10/F10)/LN(2)))</f>
        <v>1</v>
      </c>
      <c r="N10" s="20" t="n">
        <f aca="false">H10/2</f>
        <v>4075.5</v>
      </c>
      <c r="O10" s="20" t="n">
        <f aca="false">H10/2*I10/G10</f>
        <v>4797.804</v>
      </c>
      <c r="P10" s="22" t="n">
        <f aca="false">14*((2*Assumptions!$C$23*(L10*(1-L10)+L10*(1+Assumptions!$C$11)*(1-L10*(1+Assumptions!$C$11)))/(L10*Assumptions!$C$11)^2/Assumptions!$C$14)/E10)^(1/M10)/7</f>
        <v>3.0861009619463</v>
      </c>
      <c r="Q10" s="22" t="n">
        <f aca="false">14*((2*Assumptions!$C$23*(L10*(1-L10)+L10*(1+Assumptions!$C$12)*(1-L10*(1+Assumptions!$C$12)))/(L10*Assumptions!$C$12)^2/Assumptions!$C$14)/E10)^(1/M10)/7</f>
        <v>0.789859451838926</v>
      </c>
      <c r="R10" s="22" t="n">
        <f aca="false">14*((2*Assumptions!$C$23*(L10*(1-L10)+L10*(1+Assumptions!$C$13)*(1-L10*(1+Assumptions!$C$13)))/(L10*Assumptions!$C$13)^2/Assumptions!$C$14)/E10)^(1/M10)/7</f>
        <v>0.206599719327273</v>
      </c>
      <c r="S10" s="23" t="str">
        <f aca="false">IF(P10&lt;=Assumptions!$C$9,"Tier 1",IF(P10&lt;=Assumptions!$C$10,"Tier 1 (3-wk)",IF(Q10&lt;=Assumptions!$C$10,"Tier 2",IF(R10&lt;=Assumptions!$C$10,"Tier 3","Not a fit"))))</f>
        <v>Tier 2</v>
      </c>
      <c r="T10" s="29" t="n">
        <f aca="false">I10*J10*365/30/1000000</f>
        <v>64.5050368416667</v>
      </c>
      <c r="U10" s="30"/>
    </row>
    <row r="11" customFormat="false" ht="15.75" hidden="false" customHeight="true" outlineLevel="0" collapsed="false">
      <c r="A11" s="14" t="s">
        <v>119</v>
      </c>
      <c r="B11" s="14" t="s">
        <v>120</v>
      </c>
      <c r="C11" s="14" t="s">
        <v>121</v>
      </c>
      <c r="D11" s="15" t="n">
        <v>134385</v>
      </c>
      <c r="E11" s="15" t="n">
        <v>60142</v>
      </c>
      <c r="F11" s="15" t="n">
        <v>32489</v>
      </c>
      <c r="G11" s="15" t="n">
        <v>12717</v>
      </c>
      <c r="H11" s="15" t="n">
        <v>5574</v>
      </c>
      <c r="I11" s="15" t="n">
        <v>12717</v>
      </c>
      <c r="J11" s="16" t="n">
        <v>237.76</v>
      </c>
      <c r="K11" s="14" t="s">
        <v>108</v>
      </c>
      <c r="L11" s="21" t="n">
        <f aca="false">H11/E11</f>
        <v>0.0926806557813176</v>
      </c>
      <c r="M11" s="28" t="n">
        <f aca="false">MIN(1,MAX(0.5,LN(E11/F11)/LN(2)))</f>
        <v>0.888421506295927</v>
      </c>
      <c r="N11" s="20" t="n">
        <f aca="false">H11/2</f>
        <v>2787</v>
      </c>
      <c r="O11" s="20" t="n">
        <f aca="false">H11/2*I11/G11</f>
        <v>2787</v>
      </c>
      <c r="P11" s="22" t="n">
        <f aca="false">14*((2*Assumptions!$C$23*(L11*(1-L11)+L11*(1+Assumptions!$C$11)*(1-L11*(1+Assumptions!$C$11)))/(L11*Assumptions!$C$11)^2/Assumptions!$C$14)/E11)^(1/M11)/7</f>
        <v>4.58500670078028</v>
      </c>
      <c r="Q11" s="22" t="n">
        <f aca="false">14*((2*Assumptions!$C$23*(L11*(1-L11)+L11*(1+Assumptions!$C$12)*(1-L11*(1+Assumptions!$C$12)))/(L11*Assumptions!$C$12)^2/Assumptions!$C$14)/E11)^(1/M11)/7</f>
        <v>0.986515318983182</v>
      </c>
      <c r="R11" s="22" t="n">
        <f aca="false">14*((2*Assumptions!$C$23*(L11*(1-L11)+L11*(1+Assumptions!$C$13)*(1-L11*(1+Assumptions!$C$13)))/(L11*Assumptions!$C$13)^2/Assumptions!$C$14)/E11)^(1/M11)/7</f>
        <v>0.216927938379118</v>
      </c>
      <c r="S11" s="23" t="str">
        <f aca="false">IF(P11&lt;=Assumptions!$C$9,"Tier 1",IF(P11&lt;=Assumptions!$C$10,"Tier 1 (3-wk)",IF(Q11&lt;=Assumptions!$C$10,"Tier 2",IF(R11&lt;=Assumptions!$C$10,"Tier 3","Not a fit"))))</f>
        <v>Tier 2</v>
      </c>
      <c r="T11" s="29" t="n">
        <f aca="false">I11*J11*365/30/1000000</f>
        <v>36.78705936</v>
      </c>
      <c r="U11" s="30"/>
    </row>
    <row r="12" customFormat="false" ht="15.75" hidden="false" customHeight="true" outlineLevel="0" collapsed="false">
      <c r="A12" s="14" t="s">
        <v>122</v>
      </c>
      <c r="B12" s="14" t="s">
        <v>68</v>
      </c>
      <c r="C12" s="14" t="s">
        <v>123</v>
      </c>
      <c r="D12" s="15" t="n">
        <v>558801</v>
      </c>
      <c r="E12" s="15" t="n">
        <v>267693</v>
      </c>
      <c r="F12" s="15" t="n">
        <v>139012</v>
      </c>
      <c r="G12" s="15" t="n">
        <v>11119</v>
      </c>
      <c r="H12" s="15" t="n">
        <v>4680</v>
      </c>
      <c r="I12" s="15" t="n">
        <v>11451</v>
      </c>
      <c r="J12" s="16" t="n">
        <v>327.57</v>
      </c>
      <c r="K12" s="14" t="s">
        <v>101</v>
      </c>
      <c r="L12" s="21" t="n">
        <f aca="false">H12/E12</f>
        <v>0.0174827134067757</v>
      </c>
      <c r="M12" s="28" t="n">
        <f aca="false">MIN(1,MAX(0.5,LN(E12/F12)/LN(2)))</f>
        <v>0.945369987138283</v>
      </c>
      <c r="N12" s="20" t="n">
        <f aca="false">H12/2</f>
        <v>2340</v>
      </c>
      <c r="O12" s="20" t="n">
        <f aca="false">H12/2*I12/G12</f>
        <v>2409.86959258926</v>
      </c>
      <c r="P12" s="22" t="n">
        <f aca="false">14*((2*Assumptions!$C$23*(L12*(1-L12)+L12*(1+Assumptions!$C$11)*(1-L12*(1+Assumptions!$C$11)))/(L12*Assumptions!$C$11)^2/Assumptions!$C$14)/E12)^(1/M12)/7</f>
        <v>5.72157686127056</v>
      </c>
      <c r="Q12" s="22" t="n">
        <f aca="false">14*((2*Assumptions!$C$23*(L12*(1-L12)+L12*(1+Assumptions!$C$12)*(1-L12*(1+Assumptions!$C$12)))/(L12*Assumptions!$C$12)^2/Assumptions!$C$14)/E12)^(1/M12)/7</f>
        <v>1.35367923722962</v>
      </c>
      <c r="R12" s="22" t="n">
        <f aca="false">14*((2*Assumptions!$C$23*(L12*(1-L12)+L12*(1+Assumptions!$C$13)*(1-L12*(1+Assumptions!$C$13)))/(L12*Assumptions!$C$13)^2/Assumptions!$C$14)/E12)^(1/M12)/7</f>
        <v>0.327771534198168</v>
      </c>
      <c r="S12" s="23" t="str">
        <f aca="false">IF(P12&lt;=Assumptions!$C$9,"Tier 1",IF(P12&lt;=Assumptions!$C$10,"Tier 1 (3-wk)",IF(Q12&lt;=Assumptions!$C$10,"Tier 2",IF(R12&lt;=Assumptions!$C$10,"Tier 3","Not a fit"))))</f>
        <v>Tier 2</v>
      </c>
      <c r="T12" s="29" t="n">
        <f aca="false">I12*J12*365/30/1000000</f>
        <v>45.637216185</v>
      </c>
      <c r="U12" s="30"/>
    </row>
    <row r="13" customFormat="false" ht="15.75" hidden="false" customHeight="true" outlineLevel="0" collapsed="false">
      <c r="A13" s="14" t="s">
        <v>124</v>
      </c>
      <c r="B13" s="14" t="s">
        <v>120</v>
      </c>
      <c r="C13" s="14" t="s">
        <v>125</v>
      </c>
      <c r="D13" s="15" t="n">
        <v>88997</v>
      </c>
      <c r="E13" s="15" t="n">
        <v>44610</v>
      </c>
      <c r="F13" s="15" t="n">
        <v>21642</v>
      </c>
      <c r="G13" s="15" t="n">
        <v>5174</v>
      </c>
      <c r="H13" s="15" t="n">
        <v>2398</v>
      </c>
      <c r="I13" s="15" t="n">
        <v>5174</v>
      </c>
      <c r="J13" s="16" t="n">
        <v>387.33</v>
      </c>
      <c r="K13" s="14" t="s">
        <v>108</v>
      </c>
      <c r="L13" s="21" t="n">
        <f aca="false">H13/E13</f>
        <v>0.0537547635059404</v>
      </c>
      <c r="M13" s="28" t="n">
        <f aca="false">MIN(1,MAX(0.5,LN(E13/F13)/LN(2)))</f>
        <v>1</v>
      </c>
      <c r="N13" s="20" t="n">
        <f aca="false">H13/2</f>
        <v>1199</v>
      </c>
      <c r="O13" s="20" t="n">
        <f aca="false">H13/2*I13/G13</f>
        <v>1199</v>
      </c>
      <c r="P13" s="22" t="n">
        <f aca="false">14*((2*Assumptions!$C$23*(L13*(1-L13)+L13*(1+Assumptions!$C$11)*(1-L13*(1+Assumptions!$C$11)))/(L13*Assumptions!$C$11)^2/Assumptions!$C$14)/E13)^(1/M13)/7</f>
        <v>10.1438717955144</v>
      </c>
      <c r="Q13" s="22" t="n">
        <f aca="false">14*((2*Assumptions!$C$23*(L13*(1-L13)+L13*(1+Assumptions!$C$12)*(1-L13*(1+Assumptions!$C$12)))/(L13*Assumptions!$C$12)^2/Assumptions!$C$14)/E13)^(1/M13)/7</f>
        <v>2.59386422231855</v>
      </c>
      <c r="R13" s="22" t="n">
        <f aca="false">14*((2*Assumptions!$C$23*(L13*(1-L13)+L13*(1+Assumptions!$C$13)*(1-L13*(1+Assumptions!$C$13)))/(L13*Assumptions!$C$13)^2/Assumptions!$C$14)/E13)^(1/M13)/7</f>
        <v>0.67715027569792</v>
      </c>
      <c r="S13" s="23" t="str">
        <f aca="false">IF(P13&lt;=Assumptions!$C$9,"Tier 1",IF(P13&lt;=Assumptions!$C$10,"Tier 1 (3-wk)",IF(Q13&lt;=Assumptions!$C$10,"Tier 2",IF(R13&lt;=Assumptions!$C$10,"Tier 3","Not a fit"))))</f>
        <v>Tier 2</v>
      </c>
      <c r="T13" s="29" t="n">
        <f aca="false">I13*J13*365/30/1000000</f>
        <v>24.38255261</v>
      </c>
      <c r="U13" s="30"/>
    </row>
    <row r="14" customFormat="false" ht="15.75" hidden="false" customHeight="true" outlineLevel="0" collapsed="false">
      <c r="A14" s="14" t="s">
        <v>126</v>
      </c>
      <c r="B14" s="14" t="s">
        <v>76</v>
      </c>
      <c r="C14" s="14" t="s">
        <v>127</v>
      </c>
      <c r="D14" s="15" t="n">
        <v>77036</v>
      </c>
      <c r="E14" s="15" t="n">
        <v>36988</v>
      </c>
      <c r="F14" s="15" t="n">
        <v>21063</v>
      </c>
      <c r="G14" s="15" t="n">
        <v>3553</v>
      </c>
      <c r="H14" s="15" t="n">
        <v>1835</v>
      </c>
      <c r="I14" s="15" t="n">
        <v>4080</v>
      </c>
      <c r="J14" s="16" t="n">
        <v>191.54</v>
      </c>
      <c r="K14" s="14" t="s">
        <v>101</v>
      </c>
      <c r="L14" s="21" t="n">
        <f aca="false">H14/E14</f>
        <v>0.0496106845463394</v>
      </c>
      <c r="M14" s="28" t="n">
        <f aca="false">MIN(1,MAX(0.5,LN(E14/F14)/LN(2)))</f>
        <v>0.812346359913491</v>
      </c>
      <c r="N14" s="20" t="n">
        <f aca="false">H14/2</f>
        <v>917.5</v>
      </c>
      <c r="O14" s="20" t="n">
        <f aca="false">H14/2*I14/G14</f>
        <v>1053.58851674641</v>
      </c>
      <c r="P14" s="22" t="n">
        <f aca="false">14*((2*Assumptions!$C$23*(L14*(1-L14)+L14*(1+Assumptions!$C$11)*(1-L14*(1+Assumptions!$C$11)))/(L14*Assumptions!$C$11)^2/Assumptions!$C$14)/E14)^(1/M14)/7</f>
        <v>20.6328062687546</v>
      </c>
      <c r="Q14" s="22" t="n">
        <f aca="false">14*((2*Assumptions!$C$23*(L14*(1-L14)+L14*(1+Assumptions!$C$12)*(1-L14*(1+Assumptions!$C$12)))/(L14*Assumptions!$C$12)^2/Assumptions!$C$14)/E14)^(1/M14)/7</f>
        <v>3.85084092106599</v>
      </c>
      <c r="R14" s="22" t="n">
        <f aca="false">14*((2*Assumptions!$C$23*(L14*(1-L14)+L14*(1+Assumptions!$C$13)*(1-L14*(1+Assumptions!$C$13)))/(L14*Assumptions!$C$13)^2/Assumptions!$C$14)/E14)^(1/M14)/7</f>
        <v>0.737394020910824</v>
      </c>
      <c r="S14" s="23" t="str">
        <f aca="false">IF(P14&lt;=Assumptions!$C$9,"Tier 1",IF(P14&lt;=Assumptions!$C$10,"Tier 1 (3-wk)",IF(Q14&lt;=Assumptions!$C$10,"Tier 2",IF(R14&lt;=Assumptions!$C$10,"Tier 3","Not a fit"))))</f>
        <v>Tier 3</v>
      </c>
      <c r="T14" s="29" t="n">
        <f aca="false">I14*J14*365/30/1000000</f>
        <v>9.5080456</v>
      </c>
      <c r="U14" s="30"/>
    </row>
    <row r="15" customFormat="false" ht="30" hidden="false" customHeight="true" outlineLevel="0" collapsed="false">
      <c r="A15" s="14" t="s">
        <v>128</v>
      </c>
      <c r="B15" s="14" t="s">
        <v>129</v>
      </c>
      <c r="C15" s="14" t="s">
        <v>130</v>
      </c>
      <c r="D15" s="15" t="n">
        <v>46988</v>
      </c>
      <c r="E15" s="15" t="n">
        <v>25998</v>
      </c>
      <c r="F15" s="15" t="n">
        <v>13437</v>
      </c>
      <c r="G15" s="15" t="n">
        <v>2691</v>
      </c>
      <c r="H15" s="15" t="n">
        <v>1547</v>
      </c>
      <c r="I15" s="15" t="n">
        <v>4149</v>
      </c>
      <c r="J15" s="16" t="n">
        <v>1417.58</v>
      </c>
      <c r="K15" s="14" t="s">
        <v>101</v>
      </c>
      <c r="L15" s="21" t="n">
        <f aca="false">H15/E15</f>
        <v>0.059504577275175</v>
      </c>
      <c r="M15" s="28" t="n">
        <f aca="false">MIN(1,MAX(0.5,LN(E15/F15)/LN(2)))</f>
        <v>0.952189570416171</v>
      </c>
      <c r="N15" s="20" t="n">
        <f aca="false">H15/2</f>
        <v>773.5</v>
      </c>
      <c r="O15" s="20" t="n">
        <f aca="false">H15/2*I15/G15</f>
        <v>1192.58695652174</v>
      </c>
      <c r="P15" s="22" t="n">
        <f aca="false">14*((2*Assumptions!$C$23*(L15*(1-L15)+L15*(1+Assumptions!$C$11)*(1-L15*(1+Assumptions!$C$11)))/(L15*Assumptions!$C$11)^2/Assumptions!$C$14)/E15)^(1/M15)/7</f>
        <v>17.3249794695645</v>
      </c>
      <c r="Q15" s="22" t="n">
        <f aca="false">14*((2*Assumptions!$C$23*(L15*(1-L15)+L15*(1+Assumptions!$C$12)*(1-L15*(1+Assumptions!$C$12)))/(L15*Assumptions!$C$12)^2/Assumptions!$C$14)/E15)^(1/M15)/7</f>
        <v>4.13617722561504</v>
      </c>
      <c r="R15" s="22" t="n">
        <f aca="false">14*((2*Assumptions!$C$23*(L15*(1-L15)+L15*(1+Assumptions!$C$13)*(1-L15*(1+Assumptions!$C$13)))/(L15*Assumptions!$C$13)^2/Assumptions!$C$14)/E15)^(1/M15)/7</f>
        <v>1.00897873155159</v>
      </c>
      <c r="S15" s="23" t="str">
        <f aca="false">IF(P15&lt;=Assumptions!$C$9,"Tier 1",IF(P15&lt;=Assumptions!$C$10,"Tier 1 (3-wk)",IF(Q15&lt;=Assumptions!$C$10,"Tier 2",IF(R15&lt;=Assumptions!$C$10,"Tier 3","Not a fit"))))</f>
        <v>Tier 3</v>
      </c>
      <c r="T15" s="29" t="n">
        <f aca="false">I15*J15*365/30/1000000</f>
        <v>71.55872961</v>
      </c>
      <c r="U15" s="30" t="s">
        <v>131</v>
      </c>
    </row>
    <row r="16" customFormat="false" ht="30" hidden="false" customHeight="true" outlineLevel="0" collapsed="false">
      <c r="A16" s="14" t="s">
        <v>132</v>
      </c>
      <c r="B16" s="14" t="s">
        <v>72</v>
      </c>
      <c r="C16" s="14" t="s">
        <v>133</v>
      </c>
      <c r="D16" s="15" t="n">
        <v>1015433</v>
      </c>
      <c r="E16" s="15" t="n">
        <v>327766</v>
      </c>
      <c r="F16" s="15" t="n">
        <v>155262</v>
      </c>
      <c r="G16" s="15" t="n">
        <v>1185</v>
      </c>
      <c r="H16" s="15" t="n">
        <v>560</v>
      </c>
      <c r="I16" s="15" t="n">
        <v>1777</v>
      </c>
      <c r="J16" s="16" t="n">
        <v>1794.38</v>
      </c>
      <c r="K16" s="14" t="s">
        <v>101</v>
      </c>
      <c r="L16" s="21" t="n">
        <f aca="false">H16/E16</f>
        <v>0.00170853596773308</v>
      </c>
      <c r="M16" s="28" t="n">
        <f aca="false">MIN(1,MAX(0.5,LN(E16/F16)/LN(2)))</f>
        <v>1</v>
      </c>
      <c r="N16" s="20" t="n">
        <f aca="false">H16/2</f>
        <v>280</v>
      </c>
      <c r="O16" s="20" t="n">
        <f aca="false">H16/2*I16/G16</f>
        <v>419.881856540084</v>
      </c>
      <c r="P16" s="22" t="n">
        <f aca="false">14*((2*Assumptions!$C$23*(L16*(1-L16)+L16*(1+Assumptions!$C$11)*(1-L16*(1+Assumptions!$C$11)))/(L16*Assumptions!$C$11)^2/Assumptions!$C$14)/E16)^(1/M16)/7</f>
        <v>45.8914535262398</v>
      </c>
      <c r="Q16" s="22" t="n">
        <f aca="false">14*((2*Assumptions!$C$23*(L16*(1-L16)+L16*(1+Assumptions!$C$12)*(1-L16*(1+Assumptions!$C$12)))/(L16*Assumptions!$C$12)^2/Assumptions!$C$14)/E16)^(1/M16)/7</f>
        <v>11.7521508113344</v>
      </c>
      <c r="R16" s="22" t="n">
        <f aca="false">14*((2*Assumptions!$C$23*(L16*(1-L16)+L16*(1+Assumptions!$C$13)*(1-L16*(1+Assumptions!$C$13)))/(L16*Assumptions!$C$13)^2/Assumptions!$C$14)/E16)^(1/M16)/7</f>
        <v>3.07764549782796</v>
      </c>
      <c r="S16" s="23" t="str">
        <f aca="false">IF(P16&lt;=Assumptions!$C$9,"Tier 1",IF(P16&lt;=Assumptions!$C$10,"Tier 1 (3-wk)",IF(Q16&lt;=Assumptions!$C$10,"Tier 2",IF(R16&lt;=Assumptions!$C$10,"Tier 3","Not a fit"))))</f>
        <v>Not a fit</v>
      </c>
      <c r="T16" s="29" t="n">
        <f aca="false">I16*J16*365/30/1000000</f>
        <v>38.7947946633333</v>
      </c>
      <c r="U16" s="30" t="s">
        <v>134</v>
      </c>
    </row>
    <row r="17" customFormat="false" ht="30" hidden="false" customHeight="true" outlineLevel="0" collapsed="false">
      <c r="A17" s="14" t="s">
        <v>135</v>
      </c>
      <c r="B17" s="14" t="s">
        <v>136</v>
      </c>
      <c r="C17" s="14" t="s">
        <v>137</v>
      </c>
      <c r="D17" s="15" t="n">
        <v>362573</v>
      </c>
      <c r="E17" s="15" t="n">
        <v>174640</v>
      </c>
      <c r="F17" s="15" t="n">
        <v>73273</v>
      </c>
      <c r="G17" s="15" t="n">
        <v>807</v>
      </c>
      <c r="H17" s="15" t="n">
        <v>539</v>
      </c>
      <c r="I17" s="15" t="n">
        <v>814</v>
      </c>
      <c r="J17" s="16" t="n">
        <v>559.12</v>
      </c>
      <c r="K17" s="14" t="s">
        <v>101</v>
      </c>
      <c r="L17" s="21" t="n">
        <f aca="false">H17/E17</f>
        <v>0.00308634906092533</v>
      </c>
      <c r="M17" s="28" t="n">
        <f aca="false">MIN(1,MAX(0.5,LN(E17/F17)/LN(2)))</f>
        <v>1</v>
      </c>
      <c r="N17" s="20" t="n">
        <f aca="false">H17/2</f>
        <v>269.5</v>
      </c>
      <c r="O17" s="20" t="n">
        <f aca="false">H17/2*I17/G17</f>
        <v>271.837670384139</v>
      </c>
      <c r="P17" s="22" t="n">
        <f aca="false">14*((2*Assumptions!$C$23*(L17*(1-L17)+L17*(1+Assumptions!$C$11)*(1-L17*(1+Assumptions!$C$11)))/(L17*Assumptions!$C$11)^2/Assumptions!$C$14)/E17)^(1/M17)/7</f>
        <v>47.611938229327</v>
      </c>
      <c r="Q17" s="22" t="n">
        <f aca="false">14*((2*Assumptions!$C$23*(L17*(1-L17)+L17*(1+Assumptions!$C$12)*(1-L17*(1+Assumptions!$C$12)))/(L17*Assumptions!$C$12)^2/Assumptions!$C$14)/E17)^(1/M17)/7</f>
        <v>12.1922905800317</v>
      </c>
      <c r="R17" s="22" t="n">
        <f aca="false">14*((2*Assumptions!$C$23*(L17*(1-L17)+L17*(1+Assumptions!$C$13)*(1-L17*(1+Assumptions!$C$13)))/(L17*Assumptions!$C$13)^2/Assumptions!$C$14)/E17)^(1/M17)/7</f>
        <v>3.19265824156406</v>
      </c>
      <c r="S17" s="23" t="str">
        <f aca="false">IF(P17&lt;=Assumptions!$C$9,"Tier 1",IF(P17&lt;=Assumptions!$C$10,"Tier 1 (3-wk)",IF(Q17&lt;=Assumptions!$C$10,"Tier 2",IF(R17&lt;=Assumptions!$C$10,"Tier 3","Not a fit"))))</f>
        <v>Not a fit</v>
      </c>
      <c r="T17" s="29" t="n">
        <f aca="false">I17*J17*365/30/1000000</f>
        <v>5.53733810666667</v>
      </c>
      <c r="U17" s="30" t="s">
        <v>138</v>
      </c>
    </row>
    <row r="18" customFormat="false" ht="30" hidden="false" customHeight="true" outlineLevel="0" collapsed="false">
      <c r="A18" s="14" t="s">
        <v>139</v>
      </c>
      <c r="B18" s="14" t="s">
        <v>72</v>
      </c>
      <c r="C18" s="14" t="s">
        <v>140</v>
      </c>
      <c r="D18" s="15" t="n">
        <v>6884</v>
      </c>
      <c r="E18" s="15" t="n">
        <v>4296</v>
      </c>
      <c r="F18" s="15" t="n">
        <v>2285</v>
      </c>
      <c r="G18" s="15" t="n">
        <v>1022</v>
      </c>
      <c r="H18" s="15" t="n">
        <v>487</v>
      </c>
      <c r="I18" s="15" t="n">
        <v>1022</v>
      </c>
      <c r="J18" s="16" t="n">
        <v>1692.69</v>
      </c>
      <c r="K18" s="14" t="s">
        <v>108</v>
      </c>
      <c r="L18" s="21" t="n">
        <f aca="false">H18/E18</f>
        <v>0.113361266294227</v>
      </c>
      <c r="M18" s="28" t="n">
        <f aca="false">MIN(1,MAX(0.5,LN(E18/F18)/LN(2)))</f>
        <v>0.910799828039981</v>
      </c>
      <c r="N18" s="20" t="n">
        <f aca="false">H18/2</f>
        <v>243.5</v>
      </c>
      <c r="O18" s="20" t="n">
        <f aca="false">H18/2*I18/G18</f>
        <v>243.5</v>
      </c>
      <c r="P18" s="22" t="n">
        <f aca="false">14*((2*Assumptions!$C$23*(L18*(1-L18)+L18*(1+Assumptions!$C$11)*(1-L18*(1+Assumptions!$C$11)))/(L18*Assumptions!$C$11)^2/Assumptions!$C$14)/E18)^(1/M18)/7</f>
        <v>63.6055536518562</v>
      </c>
      <c r="Q18" s="22" t="n">
        <f aca="false">14*((2*Assumptions!$C$23*(L18*(1-L18)+L18*(1+Assumptions!$C$12)*(1-L18*(1+Assumptions!$C$12)))/(L18*Assumptions!$C$12)^2/Assumptions!$C$14)/E18)^(1/M18)/7</f>
        <v>14.2010920343544</v>
      </c>
      <c r="R18" s="22" t="n">
        <f aca="false">14*((2*Assumptions!$C$23*(L18*(1-L18)+L18*(1+Assumptions!$C$13)*(1-L18*(1+Assumptions!$C$13)))/(L18*Assumptions!$C$13)^2/Assumptions!$C$14)/E18)^(1/M18)/7</f>
        <v>3.23583962098898</v>
      </c>
      <c r="S18" s="23" t="str">
        <f aca="false">IF(P18&lt;=Assumptions!$C$9,"Tier 1",IF(P18&lt;=Assumptions!$C$10,"Tier 1 (3-wk)",IF(Q18&lt;=Assumptions!$C$10,"Tier 2",IF(R18&lt;=Assumptions!$C$10,"Tier 3","Not a fit"))))</f>
        <v>Not a fit</v>
      </c>
      <c r="T18" s="29" t="n">
        <f aca="false">I18*J18*365/30/1000000</f>
        <v>21.04747169</v>
      </c>
      <c r="U18" s="30" t="s">
        <v>141</v>
      </c>
    </row>
    <row r="19" customFormat="false" ht="15.75" hidden="false" customHeight="true" outlineLevel="0" collapsed="false">
      <c r="A19" s="14" t="s">
        <v>142</v>
      </c>
      <c r="B19" s="14" t="s">
        <v>143</v>
      </c>
      <c r="C19" s="14" t="s">
        <v>144</v>
      </c>
      <c r="D19" s="15" t="n">
        <v>12635</v>
      </c>
      <c r="E19" s="15" t="n">
        <v>6943</v>
      </c>
      <c r="F19" s="15" t="n">
        <v>3844</v>
      </c>
      <c r="G19" s="15" t="n">
        <v>484</v>
      </c>
      <c r="H19" s="15" t="n">
        <v>484</v>
      </c>
      <c r="I19" s="15" t="n">
        <v>669</v>
      </c>
      <c r="J19" s="16" t="n">
        <v>131.91</v>
      </c>
      <c r="K19" s="14" t="s">
        <v>101</v>
      </c>
      <c r="L19" s="21" t="n">
        <f aca="false">H19/E19</f>
        <v>0.0697104997839551</v>
      </c>
      <c r="M19" s="28" t="n">
        <f aca="false">MIN(1,MAX(0.5,LN(E19/F19)/LN(2)))</f>
        <v>0.852950835326899</v>
      </c>
      <c r="N19" s="20" t="n">
        <f aca="false">H19/2</f>
        <v>242</v>
      </c>
      <c r="O19" s="20" t="n">
        <f aca="false">H19/2*I19/G19</f>
        <v>334.5</v>
      </c>
      <c r="P19" s="22" t="n">
        <f aca="false">14*((2*Assumptions!$C$23*(L19*(1-L19)+L19*(1+Assumptions!$C$11)*(1-L19*(1+Assumptions!$C$11)))/(L19*Assumptions!$C$11)^2/Assumptions!$C$14)/E19)^(1/M19)/7</f>
        <v>85.8426839229965</v>
      </c>
      <c r="Q19" s="22" t="n">
        <f aca="false">14*((2*Assumptions!$C$23*(L19*(1-L19)+L19*(1+Assumptions!$C$12)*(1-L19*(1+Assumptions!$C$12)))/(L19*Assumptions!$C$12)^2/Assumptions!$C$14)/E19)^(1/M19)/7</f>
        <v>17.3417571378071</v>
      </c>
      <c r="R19" s="22" t="n">
        <f aca="false">14*((2*Assumptions!$C$23*(L19*(1-L19)+L19*(1+Assumptions!$C$13)*(1-L19*(1+Assumptions!$C$13)))/(L19*Assumptions!$C$13)^2/Assumptions!$C$14)/E19)^(1/M19)/7</f>
        <v>3.58713093113947</v>
      </c>
      <c r="S19" s="23" t="str">
        <f aca="false">IF(P19&lt;=Assumptions!$C$9,"Tier 1",IF(P19&lt;=Assumptions!$C$10,"Tier 1 (3-wk)",IF(Q19&lt;=Assumptions!$C$10,"Tier 2",IF(R19&lt;=Assumptions!$C$10,"Tier 3","Not a fit"))))</f>
        <v>Not a fit</v>
      </c>
      <c r="T19" s="29" t="n">
        <f aca="false">I19*J19*365/30/1000000</f>
        <v>1.073681445</v>
      </c>
      <c r="U19" s="30"/>
    </row>
    <row r="20" customFormat="false" ht="15.75" hidden="false" customHeight="true" outlineLevel="0" collapsed="false">
      <c r="A20" s="14" t="s">
        <v>145</v>
      </c>
      <c r="B20" s="14" t="s">
        <v>136</v>
      </c>
      <c r="C20" s="14" t="s">
        <v>146</v>
      </c>
      <c r="D20" s="15" t="n">
        <v>276725</v>
      </c>
      <c r="E20" s="15" t="n">
        <v>18066</v>
      </c>
      <c r="F20" s="15" t="n">
        <v>9558</v>
      </c>
      <c r="G20" s="15" t="n">
        <v>443</v>
      </c>
      <c r="H20" s="15" t="n">
        <v>359</v>
      </c>
      <c r="I20" s="15" t="n">
        <v>446</v>
      </c>
      <c r="J20" s="16" t="n">
        <v>497.17</v>
      </c>
      <c r="K20" s="14" t="s">
        <v>101</v>
      </c>
      <c r="L20" s="21" t="n">
        <f aca="false">H20/E20</f>
        <v>0.0198715819771947</v>
      </c>
      <c r="M20" s="28" t="n">
        <f aca="false">MIN(1,MAX(0.5,LN(E20/F20)/LN(2)))</f>
        <v>0.918496441199368</v>
      </c>
      <c r="N20" s="20" t="n">
        <f aca="false">H20/2</f>
        <v>179.5</v>
      </c>
      <c r="O20" s="20" t="n">
        <f aca="false">H20/2*I20/G20</f>
        <v>180.715575620767</v>
      </c>
      <c r="P20" s="22" t="n">
        <f aca="false">14*((2*Assumptions!$C$23*(L20*(1-L20)+L20*(1+Assumptions!$C$11)*(1-L20*(1+Assumptions!$C$11)))/(L20*Assumptions!$C$11)^2/Assumptions!$C$14)/E20)^(1/M20)/7</f>
        <v>96.3376186206778</v>
      </c>
      <c r="Q20" s="22" t="n">
        <f aca="false">14*((2*Assumptions!$C$23*(L20*(1-L20)+L20*(1+Assumptions!$C$12)*(1-L20*(1+Assumptions!$C$12)))/(L20*Assumptions!$C$12)^2/Assumptions!$C$14)/E20)^(1/M20)/7</f>
        <v>21.8498702616026</v>
      </c>
      <c r="R20" s="22" t="n">
        <f aca="false">14*((2*Assumptions!$C$23*(L20*(1-L20)+L20*(1+Assumptions!$C$13)*(1-L20*(1+Assumptions!$C$13)))/(L20*Assumptions!$C$13)^2/Assumptions!$C$14)/E20)^(1/M20)/7</f>
        <v>5.07476788170646</v>
      </c>
      <c r="S20" s="23" t="str">
        <f aca="false">IF(P20&lt;=Assumptions!$C$9,"Tier 1",IF(P20&lt;=Assumptions!$C$10,"Tier 1 (3-wk)",IF(Q20&lt;=Assumptions!$C$10,"Tier 2",IF(R20&lt;=Assumptions!$C$10,"Tier 3","Not a fit"))))</f>
        <v>Not a fit</v>
      </c>
      <c r="T20" s="29" t="n">
        <f aca="false">I20*J20*365/30/1000000</f>
        <v>2.69781014333333</v>
      </c>
      <c r="U20" s="30"/>
    </row>
    <row r="21" customFormat="false" ht="15.75" hidden="false" customHeight="true" outlineLevel="0" collapsed="false">
      <c r="A21" s="14" t="s">
        <v>147</v>
      </c>
      <c r="B21" s="14" t="s">
        <v>129</v>
      </c>
      <c r="C21" s="14" t="s">
        <v>148</v>
      </c>
      <c r="D21" s="15" t="n">
        <v>63224</v>
      </c>
      <c r="E21" s="15" t="n">
        <v>28963</v>
      </c>
      <c r="F21" s="15" t="n">
        <v>15000</v>
      </c>
      <c r="G21" s="15" t="n">
        <v>754</v>
      </c>
      <c r="H21" s="15" t="n">
        <v>357</v>
      </c>
      <c r="I21" s="15" t="n">
        <v>830</v>
      </c>
      <c r="J21" s="16" t="n">
        <v>1219.95</v>
      </c>
      <c r="K21" s="14" t="s">
        <v>101</v>
      </c>
      <c r="L21" s="21" t="n">
        <f aca="false">H21/E21</f>
        <v>0.0123260711942824</v>
      </c>
      <c r="M21" s="28" t="n">
        <f aca="false">MIN(1,MAX(0.5,LN(E21/F21)/LN(2)))</f>
        <v>0.949248544412755</v>
      </c>
      <c r="N21" s="20" t="n">
        <f aca="false">H21/2</f>
        <v>178.5</v>
      </c>
      <c r="O21" s="20" t="n">
        <f aca="false">H21/2*I21/G21</f>
        <v>196.492042440318</v>
      </c>
      <c r="P21" s="22" t="n">
        <f aca="false">14*((2*Assumptions!$C$23*(L21*(1-L21)+L21*(1+Assumptions!$C$11)*(1-L21*(1+Assumptions!$C$11)))/(L21*Assumptions!$C$11)^2/Assumptions!$C$14)/E21)^(1/M21)/7</f>
        <v>86.1859711324371</v>
      </c>
      <c r="Q21" s="22" t="n">
        <f aca="false">14*((2*Assumptions!$C$23*(L21*(1-L21)+L21*(1+Assumptions!$C$12)*(1-L21*(1+Assumptions!$C$12)))/(L21*Assumptions!$C$12)^2/Assumptions!$C$14)/E21)^(1/M21)/7</f>
        <v>20.5144350629767</v>
      </c>
      <c r="R21" s="22" t="n">
        <f aca="false">14*((2*Assumptions!$C$23*(L21*(1-L21)+L21*(1+Assumptions!$C$13)*(1-L21*(1+Assumptions!$C$13)))/(L21*Assumptions!$C$13)^2/Assumptions!$C$14)/E21)^(1/M21)/7</f>
        <v>4.99769720684347</v>
      </c>
      <c r="S21" s="23" t="str">
        <f aca="false">IF(P21&lt;=Assumptions!$C$9,"Tier 1",IF(P21&lt;=Assumptions!$C$10,"Tier 1 (3-wk)",IF(Q21&lt;=Assumptions!$C$10,"Tier 2",IF(R21&lt;=Assumptions!$C$10,"Tier 3","Not a fit"))))</f>
        <v>Not a fit</v>
      </c>
      <c r="T21" s="29" t="n">
        <f aca="false">I21*J21*365/30/1000000</f>
        <v>12.31946175</v>
      </c>
      <c r="U21" s="30"/>
    </row>
    <row r="22" customFormat="false" ht="15.75" hidden="false" customHeight="true" outlineLevel="0" collapsed="false">
      <c r="A22" s="14" t="s">
        <v>149</v>
      </c>
      <c r="B22" s="14" t="s">
        <v>68</v>
      </c>
      <c r="C22" s="14" t="s">
        <v>150</v>
      </c>
      <c r="D22" s="15" t="n">
        <v>82790</v>
      </c>
      <c r="E22" s="15" t="n">
        <v>29585</v>
      </c>
      <c r="F22" s="15" t="n">
        <v>21939</v>
      </c>
      <c r="G22" s="15" t="n">
        <v>725</v>
      </c>
      <c r="H22" s="15" t="n">
        <v>332</v>
      </c>
      <c r="I22" s="15" t="n">
        <v>725</v>
      </c>
      <c r="J22" s="16" t="n">
        <v>159.84</v>
      </c>
      <c r="K22" s="14" t="s">
        <v>108</v>
      </c>
      <c r="L22" s="21" t="n">
        <f aca="false">H22/E22</f>
        <v>0.0112219029913808</v>
      </c>
      <c r="M22" s="28" t="n">
        <f aca="false">MIN(1,MAX(0.5,LN(E22/F22)/LN(2)))</f>
        <v>0.5</v>
      </c>
      <c r="N22" s="20" t="n">
        <f aca="false">H22/2</f>
        <v>166</v>
      </c>
      <c r="O22" s="20" t="n">
        <f aca="false">H22/2*I22/G22</f>
        <v>166</v>
      </c>
      <c r="P22" s="22" t="n">
        <f aca="false">14*((2*Assumptions!$C$23*(L22*(1-L22)+L22*(1+Assumptions!$C$11)*(1-L22*(1+Assumptions!$C$11)))/(L22*Assumptions!$C$11)^2/Assumptions!$C$14)/E22)^(1/M22)/7</f>
        <v>2937.66355189354</v>
      </c>
      <c r="Q22" s="22" t="n">
        <f aca="false">14*((2*Assumptions!$C$23*(L22*(1-L22)+L22*(1+Assumptions!$C$12)*(1-L22*(1+Assumptions!$C$12)))/(L22*Assumptions!$C$12)^2/Assumptions!$C$14)/E22)^(1/M22)/7</f>
        <v>192.552391299102</v>
      </c>
      <c r="R22" s="22" t="n">
        <f aca="false">14*((2*Assumptions!$C$23*(L22*(1-L22)+L22*(1+Assumptions!$C$13)*(1-L22*(1+Assumptions!$C$13)))/(L22*Assumptions!$C$13)^2/Assumptions!$C$14)/E22)^(1/M22)/7</f>
        <v>13.1909524647596</v>
      </c>
      <c r="S22" s="23" t="str">
        <f aca="false">IF(P22&lt;=Assumptions!$C$9,"Tier 1",IF(P22&lt;=Assumptions!$C$10,"Tier 1 (3-wk)",IF(Q22&lt;=Assumptions!$C$10,"Tier 2",IF(R22&lt;=Assumptions!$C$10,"Tier 3","Not a fit"))))</f>
        <v>Not a fit</v>
      </c>
      <c r="T22" s="29" t="n">
        <f aca="false">I22*J22*365/30/1000000</f>
        <v>1.409922</v>
      </c>
      <c r="U22" s="30"/>
    </row>
    <row r="23" customFormat="false" ht="30" hidden="false" customHeight="true" outlineLevel="0" collapsed="false">
      <c r="A23" s="14" t="s">
        <v>151</v>
      </c>
      <c r="B23" s="14" t="s">
        <v>76</v>
      </c>
      <c r="C23" s="14" t="s">
        <v>152</v>
      </c>
      <c r="D23" s="15" t="n">
        <v>3439</v>
      </c>
      <c r="E23" s="15" t="n">
        <v>2005</v>
      </c>
      <c r="F23" s="15" t="n">
        <v>1273</v>
      </c>
      <c r="G23" s="15" t="n">
        <v>408</v>
      </c>
      <c r="H23" s="15" t="n">
        <v>223</v>
      </c>
      <c r="I23" s="15" t="n">
        <v>888</v>
      </c>
      <c r="J23" s="16" t="n">
        <v>1529.94</v>
      </c>
      <c r="K23" s="14" t="s">
        <v>101</v>
      </c>
      <c r="L23" s="21" t="n">
        <f aca="false">H23/E23</f>
        <v>0.111221945137157</v>
      </c>
      <c r="M23" s="28" t="n">
        <f aca="false">MIN(1,MAX(0.5,LN(E23/F23)/LN(2)))</f>
        <v>0.655369817440925</v>
      </c>
      <c r="N23" s="20" t="n">
        <f aca="false">H23/2</f>
        <v>111.5</v>
      </c>
      <c r="O23" s="20" t="n">
        <f aca="false">H23/2*I23/G23</f>
        <v>242.676470588235</v>
      </c>
      <c r="P23" s="22" t="n">
        <f aca="false">14*((2*Assumptions!$C$23*(L23*(1-L23)+L23*(1+Assumptions!$C$11)*(1-L23*(1+Assumptions!$C$11)))/(L23*Assumptions!$C$11)^2/Assumptions!$C$14)/E23)^(1/M23)/7</f>
        <v>809.711459105764</v>
      </c>
      <c r="Q23" s="22" t="n">
        <f aca="false">14*((2*Assumptions!$C$23*(L23*(1-L23)+L23*(1+Assumptions!$C$12)*(1-L23*(1+Assumptions!$C$12)))/(L23*Assumptions!$C$12)^2/Assumptions!$C$14)/E23)^(1/M23)/7</f>
        <v>100.788553481943</v>
      </c>
      <c r="R23" s="22" t="n">
        <f aca="false">14*((2*Assumptions!$C$23*(L23*(1-L23)+L23*(1+Assumptions!$C$13)*(1-L23*(1+Assumptions!$C$13)))/(L23*Assumptions!$C$13)^2/Assumptions!$C$14)/E23)^(1/M23)/7</f>
        <v>12.9071689884494</v>
      </c>
      <c r="S23" s="23" t="str">
        <f aca="false">IF(P23&lt;=Assumptions!$C$9,"Tier 1",IF(P23&lt;=Assumptions!$C$10,"Tier 1 (3-wk)",IF(Q23&lt;=Assumptions!$C$10,"Tier 2",IF(R23&lt;=Assumptions!$C$10,"Tier 3","Not a fit"))))</f>
        <v>Not a fit</v>
      </c>
      <c r="T23" s="29" t="n">
        <f aca="false">I23*J23*365/30/1000000</f>
        <v>16.52947176</v>
      </c>
      <c r="U23" s="30" t="s">
        <v>153</v>
      </c>
    </row>
    <row r="24" customFormat="false" ht="15.75" hidden="false" customHeight="true" outlineLevel="0" collapsed="false">
      <c r="A24" s="14" t="s">
        <v>154</v>
      </c>
      <c r="B24" s="14" t="s">
        <v>120</v>
      </c>
      <c r="C24" s="14" t="s">
        <v>155</v>
      </c>
      <c r="D24" s="15" t="n">
        <v>14923</v>
      </c>
      <c r="E24" s="15" t="n">
        <v>8093</v>
      </c>
      <c r="F24" s="15" t="n">
        <v>4903</v>
      </c>
      <c r="G24" s="15" t="n">
        <v>365</v>
      </c>
      <c r="H24" s="15" t="n">
        <v>174</v>
      </c>
      <c r="I24" s="15" t="n">
        <v>365</v>
      </c>
      <c r="J24" s="16" t="n">
        <v>232.07</v>
      </c>
      <c r="K24" s="14" t="s">
        <v>108</v>
      </c>
      <c r="L24" s="21" t="n">
        <f aca="false">H24/E24</f>
        <v>0.0215000617817867</v>
      </c>
      <c r="M24" s="28" t="n">
        <f aca="false">MIN(1,MAX(0.5,LN(E24/F24)/LN(2)))</f>
        <v>0.723009833841671</v>
      </c>
      <c r="N24" s="20" t="n">
        <f aca="false">H24/2</f>
        <v>87</v>
      </c>
      <c r="O24" s="20" t="n">
        <f aca="false">H24/2*I24/G24</f>
        <v>87</v>
      </c>
      <c r="P24" s="22" t="n">
        <f aca="false">14*((2*Assumptions!$C$23*(L24*(1-L24)+L24*(1+Assumptions!$C$11)*(1-L24*(1+Assumptions!$C$11)))/(L24*Assumptions!$C$11)^2/Assumptions!$C$14)/E24)^(1/M24)/7</f>
        <v>746.113693854693</v>
      </c>
      <c r="Q24" s="22" t="n">
        <f aca="false">14*((2*Assumptions!$C$23*(L24*(1-L24)+L24*(1+Assumptions!$C$12)*(1-L24*(1+Assumptions!$C$12)))/(L24*Assumptions!$C$12)^2/Assumptions!$C$14)/E24)^(1/M24)/7</f>
        <v>113.29552808639</v>
      </c>
      <c r="R24" s="22" t="n">
        <f aca="false">14*((2*Assumptions!$C$23*(L24*(1-L24)+L24*(1+Assumptions!$C$13)*(1-L24*(1+Assumptions!$C$13)))/(L24*Assumptions!$C$13)^2/Assumptions!$C$14)/E24)^(1/M24)/7</f>
        <v>17.7293570768973</v>
      </c>
      <c r="S24" s="23" t="str">
        <f aca="false">IF(P24&lt;=Assumptions!$C$9,"Tier 1",IF(P24&lt;=Assumptions!$C$10,"Tier 1 (3-wk)",IF(Q24&lt;=Assumptions!$C$10,"Tier 2",IF(R24&lt;=Assumptions!$C$10,"Tier 3","Not a fit"))))</f>
        <v>Not a fit</v>
      </c>
      <c r="T24" s="29" t="n">
        <f aca="false">I24*J24*365/30/1000000</f>
        <v>1.03058419166667</v>
      </c>
      <c r="U24" s="30"/>
    </row>
    <row r="25" customFormat="false" ht="15.75" hidden="false" customHeight="true" outlineLevel="0" collapsed="false">
      <c r="A25" s="14" t="s">
        <v>156</v>
      </c>
      <c r="B25" s="14" t="s">
        <v>72</v>
      </c>
      <c r="C25" s="14" t="s">
        <v>157</v>
      </c>
      <c r="D25" s="15" t="n">
        <v>112204</v>
      </c>
      <c r="E25" s="15" t="n">
        <v>58828</v>
      </c>
      <c r="F25" s="15" t="n">
        <v>31932</v>
      </c>
      <c r="G25" s="15" t="n">
        <v>395</v>
      </c>
      <c r="H25" s="15" t="n">
        <v>169</v>
      </c>
      <c r="I25" s="15" t="n">
        <v>395</v>
      </c>
      <c r="J25" s="16" t="n">
        <v>1914.82</v>
      </c>
      <c r="K25" s="14" t="s">
        <v>108</v>
      </c>
      <c r="L25" s="21" t="n">
        <f aca="false">H25/E25</f>
        <v>0.00287278166859319</v>
      </c>
      <c r="M25" s="28" t="n">
        <f aca="false">MIN(1,MAX(0.5,LN(E25/F25)/LN(2)))</f>
        <v>0.881500072987274</v>
      </c>
      <c r="N25" s="20" t="n">
        <f aca="false">H25/2</f>
        <v>84.5</v>
      </c>
      <c r="O25" s="20" t="n">
        <f aca="false">H25/2*I25/G25</f>
        <v>84.5</v>
      </c>
      <c r="P25" s="22" t="n">
        <f aca="false">14*((2*Assumptions!$C$23*(L25*(1-L25)+L25*(1+Assumptions!$C$11)*(1-L25*(1+Assumptions!$C$11)))/(L25*Assumptions!$C$11)^2/Assumptions!$C$14)/E25)^(1/M25)/7</f>
        <v>271.835669789322</v>
      </c>
      <c r="Q25" s="22" t="n">
        <f aca="false">14*((2*Assumptions!$C$23*(L25*(1-L25)+L25*(1+Assumptions!$C$12)*(1-L25*(1+Assumptions!$C$12)))/(L25*Assumptions!$C$12)^2/Assumptions!$C$14)/E25)^(1/M25)/7</f>
        <v>57.9623401372724</v>
      </c>
      <c r="R25" s="22" t="n">
        <f aca="false">14*((2*Assumptions!$C$23*(L25*(1-L25)+L25*(1+Assumptions!$C$13)*(1-L25*(1+Assumptions!$C$13)))/(L25*Assumptions!$C$13)^2/Assumptions!$C$14)/E25)^(1/M25)/7</f>
        <v>12.6762236286933</v>
      </c>
      <c r="S25" s="23" t="str">
        <f aca="false">IF(P25&lt;=Assumptions!$C$9,"Tier 1",IF(P25&lt;=Assumptions!$C$10,"Tier 1 (3-wk)",IF(Q25&lt;=Assumptions!$C$10,"Tier 2",IF(R25&lt;=Assumptions!$C$10,"Tier 3","Not a fit"))))</f>
        <v>Not a fit</v>
      </c>
      <c r="T25" s="29" t="n">
        <f aca="false">I25*J25*365/30/1000000</f>
        <v>9.20230578333333</v>
      </c>
      <c r="U25" s="30"/>
    </row>
    <row r="26" customFormat="false" ht="15.75" hidden="false" customHeight="true" outlineLevel="0" collapsed="false">
      <c r="A26" s="14" t="s">
        <v>158</v>
      </c>
      <c r="B26" s="14" t="s">
        <v>120</v>
      </c>
      <c r="C26" s="14" t="s">
        <v>159</v>
      </c>
      <c r="D26" s="15" t="n">
        <v>22702</v>
      </c>
      <c r="E26" s="15" t="n">
        <v>12462</v>
      </c>
      <c r="F26" s="15" t="n">
        <v>6214</v>
      </c>
      <c r="G26" s="15" t="n">
        <v>313</v>
      </c>
      <c r="H26" s="15" t="n">
        <v>148</v>
      </c>
      <c r="I26" s="15" t="n">
        <v>313</v>
      </c>
      <c r="J26" s="16" t="n">
        <v>82.34</v>
      </c>
      <c r="K26" s="14" t="s">
        <v>108</v>
      </c>
      <c r="L26" s="21" t="n">
        <f aca="false">H26/E26</f>
        <v>0.0118761033541968</v>
      </c>
      <c r="M26" s="28" t="n">
        <f aca="false">MIN(1,MAX(0.5,LN(E26/F26)/LN(2)))</f>
        <v>1</v>
      </c>
      <c r="N26" s="20" t="n">
        <f aca="false">H26/2</f>
        <v>74</v>
      </c>
      <c r="O26" s="20" t="n">
        <f aca="false">H26/2*I26/G26</f>
        <v>74</v>
      </c>
      <c r="P26" s="22" t="n">
        <f aca="false">14*((2*Assumptions!$C$23*(L26*(1-L26)+L26*(1+Assumptions!$C$11)*(1-L26*(1+Assumptions!$C$11)))/(L26*Assumptions!$C$11)^2/Assumptions!$C$14)/E26)^(1/M26)/7</f>
        <v>171.829414006213</v>
      </c>
      <c r="Q26" s="22" t="n">
        <f aca="false">14*((2*Assumptions!$C$23*(L26*(1-L26)+L26*(1+Assumptions!$C$12)*(1-L26*(1+Assumptions!$C$12)))/(L26*Assumptions!$C$12)^2/Assumptions!$C$14)/E26)^(1/M26)/7</f>
        <v>43.9909304480977</v>
      </c>
      <c r="R26" s="22" t="n">
        <f aca="false">14*((2*Assumptions!$C$23*(L26*(1-L26)+L26*(1+Assumptions!$C$13)*(1-L26*(1+Assumptions!$C$13)))/(L26*Assumptions!$C$13)^2/Assumptions!$C$14)/E26)^(1/M26)/7</f>
        <v>11.5135763477263</v>
      </c>
      <c r="S26" s="23" t="str">
        <f aca="false">IF(P26&lt;=Assumptions!$C$9,"Tier 1",IF(P26&lt;=Assumptions!$C$10,"Tier 1 (3-wk)",IF(Q26&lt;=Assumptions!$C$10,"Tier 2",IF(R26&lt;=Assumptions!$C$10,"Tier 3","Not a fit"))))</f>
        <v>Not a fit</v>
      </c>
      <c r="T26" s="29" t="n">
        <f aca="false">I26*J26*365/30/1000000</f>
        <v>0.313564443333333</v>
      </c>
      <c r="U26" s="30"/>
    </row>
    <row r="27" customFormat="false" ht="15.75" hidden="false" customHeight="true" outlineLevel="0" collapsed="false">
      <c r="A27" s="14" t="s">
        <v>160</v>
      </c>
      <c r="B27" s="14" t="s">
        <v>76</v>
      </c>
      <c r="C27" s="14" t="s">
        <v>161</v>
      </c>
      <c r="D27" s="15" t="n">
        <v>42464</v>
      </c>
      <c r="E27" s="15" t="n">
        <v>20635</v>
      </c>
      <c r="F27" s="15" t="n">
        <v>10996</v>
      </c>
      <c r="G27" s="15" t="n">
        <v>265</v>
      </c>
      <c r="H27" s="15" t="n">
        <v>125</v>
      </c>
      <c r="I27" s="15" t="n">
        <v>286</v>
      </c>
      <c r="J27" s="16" t="n">
        <v>417.72</v>
      </c>
      <c r="K27" s="14" t="s">
        <v>101</v>
      </c>
      <c r="L27" s="21" t="n">
        <f aca="false">H27/E27</f>
        <v>0.00605766900896535</v>
      </c>
      <c r="M27" s="28" t="n">
        <f aca="false">MIN(1,MAX(0.5,LN(E27/F27)/LN(2)))</f>
        <v>0.908114626381444</v>
      </c>
      <c r="N27" s="20" t="n">
        <f aca="false">H27/2</f>
        <v>62.5</v>
      </c>
      <c r="O27" s="20" t="n">
        <f aca="false">H27/2*I27/G27</f>
        <v>67.4528301886792</v>
      </c>
      <c r="P27" s="22" t="n">
        <f aca="false">14*((2*Assumptions!$C$23*(L27*(1-L27)+L27*(1+Assumptions!$C$11)*(1-L27*(1+Assumptions!$C$11)))/(L27*Assumptions!$C$11)^2/Assumptions!$C$14)/E27)^(1/M27)/7</f>
        <v>326.922946008758</v>
      </c>
      <c r="Q27" s="22" t="n">
        <f aca="false">14*((2*Assumptions!$C$23*(L27*(1-L27)+L27*(1+Assumptions!$C$12)*(1-L27*(1+Assumptions!$C$12)))/(L27*Assumptions!$C$12)^2/Assumptions!$C$14)/E27)^(1/M27)/7</f>
        <v>72.931263860831</v>
      </c>
      <c r="R27" s="22" t="n">
        <f aca="false">14*((2*Assumptions!$C$23*(L27*(1-L27)+L27*(1+Assumptions!$C$13)*(1-L27*(1+Assumptions!$C$13)))/(L27*Assumptions!$C$13)^2/Assumptions!$C$14)/E27)^(1/M27)/7</f>
        <v>16.6731637299018</v>
      </c>
      <c r="S27" s="23" t="str">
        <f aca="false">IF(P27&lt;=Assumptions!$C$9,"Tier 1",IF(P27&lt;=Assumptions!$C$10,"Tier 1 (3-wk)",IF(Q27&lt;=Assumptions!$C$10,"Tier 2",IF(R27&lt;=Assumptions!$C$10,"Tier 3","Not a fit"))))</f>
        <v>Not a fit</v>
      </c>
      <c r="T27" s="29" t="n">
        <f aca="false">I27*J27*365/30/1000000</f>
        <v>1.45352636</v>
      </c>
      <c r="U27" s="30"/>
    </row>
    <row r="28" customFormat="false" ht="15.75" hidden="false" customHeight="true" outlineLevel="0" collapsed="false">
      <c r="A28" s="14" t="s">
        <v>162</v>
      </c>
      <c r="B28" s="14" t="s">
        <v>120</v>
      </c>
      <c r="C28" s="14" t="s">
        <v>163</v>
      </c>
      <c r="D28" s="15" t="n">
        <v>7742</v>
      </c>
      <c r="E28" s="15" t="n">
        <v>3595</v>
      </c>
      <c r="F28" s="15" t="n">
        <v>1878</v>
      </c>
      <c r="G28" s="15" t="n">
        <v>148</v>
      </c>
      <c r="H28" s="15" t="n">
        <v>66</v>
      </c>
      <c r="I28" s="15" t="n">
        <v>148</v>
      </c>
      <c r="J28" s="16" t="n">
        <v>250.37</v>
      </c>
      <c r="K28" s="14" t="s">
        <v>108</v>
      </c>
      <c r="L28" s="21" t="n">
        <f aca="false">H28/E28</f>
        <v>0.0183588317107093</v>
      </c>
      <c r="M28" s="28" t="n">
        <f aca="false">MIN(1,MAX(0.5,LN(E28/F28)/LN(2)))</f>
        <v>0.936794707672886</v>
      </c>
      <c r="N28" s="20" t="n">
        <f aca="false">H28/2</f>
        <v>33</v>
      </c>
      <c r="O28" s="20" t="n">
        <f aca="false">H28/2*I28/G28</f>
        <v>33</v>
      </c>
      <c r="P28" s="22" t="n">
        <f aca="false">14*((2*Assumptions!$C$23*(L28*(1-L28)+L28*(1+Assumptions!$C$11)*(1-L28*(1+Assumptions!$C$11)))/(L28*Assumptions!$C$11)^2/Assumptions!$C$14)/E28)^(1/M28)/7</f>
        <v>545.55464909499</v>
      </c>
      <c r="Q28" s="22" t="n">
        <f aca="false">14*((2*Assumptions!$C$23*(L28*(1-L28)+L28*(1+Assumptions!$C$12)*(1-L28*(1+Assumptions!$C$12)))/(L28*Assumptions!$C$12)^2/Assumptions!$C$14)/E28)^(1/M28)/7</f>
        <v>127.378664641551</v>
      </c>
      <c r="R28" s="22" t="n">
        <f aca="false">14*((2*Assumptions!$C$23*(L28*(1-L28)+L28*(1+Assumptions!$C$13)*(1-L28*(1+Assumptions!$C$13)))/(L28*Assumptions!$C$13)^2/Assumptions!$C$14)/E28)^(1/M28)/7</f>
        <v>30.4431747600538</v>
      </c>
      <c r="S28" s="23" t="str">
        <f aca="false">IF(P28&lt;=Assumptions!$C$9,"Tier 1",IF(P28&lt;=Assumptions!$C$10,"Tier 1 (3-wk)",IF(Q28&lt;=Assumptions!$C$10,"Tier 2",IF(R28&lt;=Assumptions!$C$10,"Tier 3","Not a fit"))))</f>
        <v>Not a fit</v>
      </c>
      <c r="T28" s="29" t="n">
        <f aca="false">I28*J28*365/30/1000000</f>
        <v>0.450832913333333</v>
      </c>
      <c r="U28" s="30"/>
    </row>
    <row r="29" customFormat="false" ht="15.75" hidden="false" customHeight="true" outlineLevel="0" collapsed="false">
      <c r="A29" s="14" t="s">
        <v>164</v>
      </c>
      <c r="B29" s="14" t="s">
        <v>136</v>
      </c>
      <c r="C29" s="14" t="s">
        <v>165</v>
      </c>
      <c r="D29" s="15" t="n">
        <v>107585</v>
      </c>
      <c r="E29" s="15" t="n">
        <v>44121</v>
      </c>
      <c r="F29" s="15" t="n">
        <v>18928</v>
      </c>
      <c r="G29" s="15" t="n">
        <v>73</v>
      </c>
      <c r="H29" s="15" t="n">
        <v>29</v>
      </c>
      <c r="I29" s="15" t="n">
        <v>74</v>
      </c>
      <c r="J29" s="16" t="n">
        <v>2298.46</v>
      </c>
      <c r="K29" s="14" t="s">
        <v>101</v>
      </c>
      <c r="L29" s="21" t="n">
        <f aca="false">H29/E29</f>
        <v>0.000657283379796469</v>
      </c>
      <c r="M29" s="28" t="n">
        <f aca="false">MIN(1,MAX(0.5,LN(E29/F29)/LN(2)))</f>
        <v>1</v>
      </c>
      <c r="N29" s="20" t="n">
        <f aca="false">H29/2</f>
        <v>14.5</v>
      </c>
      <c r="O29" s="20" t="n">
        <f aca="false">H29/2*I29/G29</f>
        <v>14.6986301369863</v>
      </c>
      <c r="P29" s="22" t="n">
        <f aca="false">14*((2*Assumptions!$C$23*(L29*(1-L29)+L29*(1+Assumptions!$C$11)*(1-L29*(1+Assumptions!$C$11)))/(L29*Assumptions!$C$11)^2/Assumptions!$C$14)/E29)^(1/M29)/7</f>
        <v>887.136926226282</v>
      </c>
      <c r="Q29" s="22" t="n">
        <f aca="false">14*((2*Assumptions!$C$23*(L29*(1-L29)+L29*(1+Assumptions!$C$12)*(1-L29*(1+Assumptions!$C$12)))/(L29*Assumptions!$C$12)^2/Assumptions!$C$14)/E29)^(1/M29)/7</f>
        <v>227.189602602929</v>
      </c>
      <c r="R29" s="22" t="n">
        <f aca="false">14*((2*Assumptions!$C$23*(L29*(1-L29)+L29*(1+Assumptions!$C$13)*(1-L29*(1+Assumptions!$C$13)))/(L29*Assumptions!$C$13)^2/Assumptions!$C$14)/E29)^(1/M29)/7</f>
        <v>59.4998193322808</v>
      </c>
      <c r="S29" s="23" t="str">
        <f aca="false">IF(P29&lt;=Assumptions!$C$9,"Tier 1",IF(P29&lt;=Assumptions!$C$10,"Tier 1 (3-wk)",IF(Q29&lt;=Assumptions!$C$10,"Tier 2",IF(R29&lt;=Assumptions!$C$10,"Tier 3","Not a fit"))))</f>
        <v>Not a fit</v>
      </c>
      <c r="T29" s="29" t="n">
        <f aca="false">I29*J29*365/30/1000000</f>
        <v>2.06938015333333</v>
      </c>
      <c r="U29" s="30"/>
    </row>
    <row r="30" customFormat="false" ht="30" hidden="false" customHeight="true" outlineLevel="0" collapsed="false">
      <c r="A30" s="14" t="s">
        <v>166</v>
      </c>
      <c r="B30" s="14" t="s">
        <v>136</v>
      </c>
      <c r="C30" s="14" t="s">
        <v>167</v>
      </c>
      <c r="D30" s="15" t="n">
        <v>333306</v>
      </c>
      <c r="E30" s="15" t="n">
        <v>162427</v>
      </c>
      <c r="F30" s="15" t="n">
        <v>75457</v>
      </c>
      <c r="G30" s="15" t="n">
        <v>50</v>
      </c>
      <c r="H30" s="15" t="n">
        <v>25</v>
      </c>
      <c r="I30" s="15" t="n">
        <v>54</v>
      </c>
      <c r="J30" s="16" t="n">
        <v>7378.05</v>
      </c>
      <c r="K30" s="14" t="s">
        <v>101</v>
      </c>
      <c r="L30" s="21" t="n">
        <f aca="false">H30/E30</f>
        <v>0.000153915297333571</v>
      </c>
      <c r="M30" s="28" t="n">
        <f aca="false">MIN(1,MAX(0.5,LN(E30/F30)/LN(2)))</f>
        <v>1</v>
      </c>
      <c r="N30" s="20" t="n">
        <f aca="false">H30/2</f>
        <v>12.5</v>
      </c>
      <c r="O30" s="20" t="n">
        <f aca="false">H30/2*I30/G30</f>
        <v>13.5</v>
      </c>
      <c r="P30" s="22" t="n">
        <f aca="false">14*((2*Assumptions!$C$23*(L30*(1-L30)+L30*(1+Assumptions!$C$11)*(1-L30*(1+Assumptions!$C$11)))/(L30*Assumptions!$C$11)^2/Assumptions!$C$14)/E30)^(1/M30)/7</f>
        <v>1029.61046423533</v>
      </c>
      <c r="Q30" s="22" t="n">
        <f aca="false">14*((2*Assumptions!$C$23*(L30*(1-L30)+L30*(1+Assumptions!$C$12)*(1-L30*(1+Assumptions!$C$12)))/(L30*Assumptions!$C$12)^2/Assumptions!$C$14)/E30)^(1/M30)/7</f>
        <v>263.679641978541</v>
      </c>
      <c r="R30" s="22" t="n">
        <f aca="false">14*((2*Assumptions!$C$23*(L30*(1-L30)+L30*(1+Assumptions!$C$13)*(1-L30*(1+Assumptions!$C$13)))/(L30*Assumptions!$C$13)^2/Assumptions!$C$14)/E30)^(1/M30)/7</f>
        <v>69.0583509707294</v>
      </c>
      <c r="S30" s="23" t="str">
        <f aca="false">IF(P30&lt;=Assumptions!$C$9,"Tier 1",IF(P30&lt;=Assumptions!$C$10,"Tier 1 (3-wk)",IF(Q30&lt;=Assumptions!$C$10,"Tier 2",IF(R30&lt;=Assumptions!$C$10,"Tier 3","Not a fit"))))</f>
        <v>Not a fit</v>
      </c>
      <c r="T30" s="29" t="n">
        <f aca="false">I30*J30*365/30/1000000</f>
        <v>4.84737885</v>
      </c>
      <c r="U30" s="30" t="s">
        <v>168</v>
      </c>
    </row>
    <row r="31" customFormat="false" ht="30" hidden="false" customHeight="true" outlineLevel="0" collapsed="false">
      <c r="A31" s="14" t="s">
        <v>169</v>
      </c>
      <c r="B31" s="14" t="s">
        <v>72</v>
      </c>
      <c r="C31" s="14" t="s">
        <v>170</v>
      </c>
      <c r="D31" s="15" t="n">
        <v>128696</v>
      </c>
      <c r="E31" s="15" t="n">
        <v>60004</v>
      </c>
      <c r="F31" s="15" t="n">
        <v>33286</v>
      </c>
      <c r="G31" s="15" t="n">
        <v>16</v>
      </c>
      <c r="H31" s="15" t="n">
        <v>5</v>
      </c>
      <c r="I31" s="15" t="n">
        <v>17</v>
      </c>
      <c r="J31" s="16" t="n">
        <v>2591.56</v>
      </c>
      <c r="K31" s="14" t="s">
        <v>101</v>
      </c>
      <c r="L31" s="21" t="n">
        <f aca="false">H31/E31</f>
        <v>8.33277781481235E-005</v>
      </c>
      <c r="M31" s="28" t="n">
        <f aca="false">MIN(1,MAX(0.5,LN(E31/F31)/LN(2)))</f>
        <v>0.850143165880117</v>
      </c>
      <c r="N31" s="20" t="n">
        <f aca="false">H31/2</f>
        <v>2.5</v>
      </c>
      <c r="O31" s="20" t="n">
        <f aca="false">H31/2*I31/G31</f>
        <v>2.65625</v>
      </c>
      <c r="P31" s="22" t="n">
        <f aca="false">14*((2*Assumptions!$C$23*(L31*(1-L31)+L31*(1+Assumptions!$C$11)*(1-L31*(1+Assumptions!$C$11)))/(L31*Assumptions!$C$11)^2/Assumptions!$C$14)/E31)^(1/M31)/7</f>
        <v>20553.0890227792</v>
      </c>
      <c r="Q31" s="22" t="n">
        <f aca="false">14*((2*Assumptions!$C$23*(L31*(1-L31)+L31*(1+Assumptions!$C$12)*(1-L31*(1+Assumptions!$C$12)))/(L31*Assumptions!$C$12)^2/Assumptions!$C$14)/E31)^(1/M31)/7</f>
        <v>4139.99267938418</v>
      </c>
      <c r="R31" s="22" t="n">
        <f aca="false">14*((2*Assumptions!$C$23*(L31*(1-L31)+L31*(1+Assumptions!$C$13)*(1-L31*(1+Assumptions!$C$13)))/(L31*Assumptions!$C$13)^2/Assumptions!$C$14)/E31)^(1/M31)/7</f>
        <v>856.200059709613</v>
      </c>
      <c r="S31" s="23" t="str">
        <f aca="false">IF(P31&lt;=Assumptions!$C$9,"Tier 1",IF(P31&lt;=Assumptions!$C$10,"Tier 1 (3-wk)",IF(Q31&lt;=Assumptions!$C$10,"Tier 2",IF(R31&lt;=Assumptions!$C$10,"Tier 3","Not a fit"))))</f>
        <v>Not a fit</v>
      </c>
      <c r="T31" s="29" t="n">
        <f aca="false">I31*J31*365/30/1000000</f>
        <v>0.536020993333333</v>
      </c>
      <c r="U31" s="30" t="s">
        <v>171</v>
      </c>
    </row>
    <row r="32" customFormat="false" ht="15.75" hidden="false" customHeight="true" outlineLevel="0" collapsed="false">
      <c r="A32" s="14" t="s">
        <v>172</v>
      </c>
      <c r="B32" s="14" t="s">
        <v>136</v>
      </c>
      <c r="C32" s="14" t="s">
        <v>173</v>
      </c>
      <c r="D32" s="15" t="n">
        <v>7717</v>
      </c>
      <c r="E32" s="15" t="n">
        <v>1774</v>
      </c>
      <c r="F32" s="15" t="n">
        <v>784</v>
      </c>
      <c r="G32" s="15" t="n">
        <v>4</v>
      </c>
      <c r="H32" s="15" t="n">
        <v>1</v>
      </c>
      <c r="I32" s="15" t="n">
        <v>4</v>
      </c>
      <c r="J32" s="16" t="n">
        <v>1445</v>
      </c>
      <c r="K32" s="14" t="s">
        <v>101</v>
      </c>
      <c r="L32" s="21" t="n">
        <f aca="false">H32/E32</f>
        <v>0.00056369785794814</v>
      </c>
      <c r="M32" s="28" t="n">
        <f aca="false">MIN(1,MAX(0.5,LN(E32/F32)/LN(2)))</f>
        <v>1</v>
      </c>
      <c r="N32" s="20" t="n">
        <f aca="false">H32/2</f>
        <v>0.5</v>
      </c>
      <c r="O32" s="20" t="n">
        <f aca="false">H32/2*I32/G32</f>
        <v>0.5</v>
      </c>
      <c r="P32" s="22" t="n">
        <f aca="false">14*((2*Assumptions!$C$23*(L32*(1-L32)+L32*(1+Assumptions!$C$11)*(1-L32*(1+Assumptions!$C$11)))/(L32*Assumptions!$C$11)^2/Assumptions!$C$14)/E32)^(1/M32)/7</f>
        <v>25729.4418581879</v>
      </c>
      <c r="Q32" s="22" t="n">
        <f aca="false">14*((2*Assumptions!$C$23*(L32*(1-L32)+L32*(1+Assumptions!$C$12)*(1-L32*(1+Assumptions!$C$12)))/(L32*Assumptions!$C$12)^2/Assumptions!$C$14)/E32)^(1/M32)/7</f>
        <v>6589.14781017614</v>
      </c>
      <c r="R32" s="22" t="n">
        <f aca="false">14*((2*Assumptions!$C$23*(L32*(1-L32)+L32*(1+Assumptions!$C$13)*(1-L32*(1+Assumptions!$C$13)))/(L32*Assumptions!$C$13)^2/Assumptions!$C$14)/E32)^(1/M32)/7</f>
        <v>1725.67398876357</v>
      </c>
      <c r="S32" s="23" t="str">
        <f aca="false">IF(P32&lt;=Assumptions!$C$9,"Tier 1",IF(P32&lt;=Assumptions!$C$10,"Tier 1 (3-wk)",IF(Q32&lt;=Assumptions!$C$10,"Tier 2",IF(R32&lt;=Assumptions!$C$10,"Tier 3","Not a fit"))))</f>
        <v>Not a fit</v>
      </c>
      <c r="T32" s="29" t="n">
        <f aca="false">I32*J32*365/30/1000000</f>
        <v>0.0703233333333333</v>
      </c>
      <c r="U32" s="30"/>
    </row>
    <row r="34" customFormat="false" ht="15" hidden="false" customHeight="false" outlineLevel="0" collapsed="false">
      <c r="A34" s="3" t="s">
        <v>174</v>
      </c>
    </row>
    <row r="35" customFormat="false" ht="15" hidden="false" customHeight="false" outlineLevel="0" collapsed="false">
      <c r="A35" s="24" t="s">
        <v>70</v>
      </c>
      <c r="B35" s="18" t="n">
        <f aca="false">COUNTIF($S$5:$S$32,A35&amp;"*")</f>
        <v>5</v>
      </c>
      <c r="C35" s="31" t="s">
        <v>175</v>
      </c>
    </row>
    <row r="36" customFormat="false" ht="15" hidden="false" customHeight="false" outlineLevel="0" collapsed="false">
      <c r="A36" s="25" t="s">
        <v>74</v>
      </c>
      <c r="B36" s="18" t="n">
        <f aca="false">COUNTIF($S$5:$S$32,A36&amp;"*")</f>
        <v>4</v>
      </c>
      <c r="C36" s="31" t="s">
        <v>175</v>
      </c>
    </row>
    <row r="37" customFormat="false" ht="15" hidden="false" customHeight="false" outlineLevel="0" collapsed="false">
      <c r="A37" s="26" t="s">
        <v>78</v>
      </c>
      <c r="B37" s="18" t="n">
        <f aca="false">COUNTIF($S$5:$S$32,A37&amp;"*")</f>
        <v>2</v>
      </c>
      <c r="C37" s="31" t="s">
        <v>175</v>
      </c>
    </row>
    <row r="38" customFormat="false" ht="15" hidden="false" customHeight="false" outlineLevel="0" collapsed="false">
      <c r="A38" s="27" t="s">
        <v>28</v>
      </c>
      <c r="B38" s="18" t="n">
        <f aca="false">COUNTIF($S$5:$S$32,A38&amp;"*")</f>
        <v>17</v>
      </c>
      <c r="C38" s="31" t="s">
        <v>175</v>
      </c>
    </row>
    <row r="40" customFormat="false" ht="15" hidden="false" customHeight="false" outlineLevel="0" collapsed="false">
      <c r="A40" s="3" t="s">
        <v>176</v>
      </c>
    </row>
    <row r="41" customFormat="false" ht="15" hidden="false" customHeight="false" outlineLevel="0" collapsed="false">
      <c r="A41" s="32" t="s">
        <v>177</v>
      </c>
      <c r="C41" s="33" t="s">
        <v>178</v>
      </c>
    </row>
    <row r="42" customFormat="false" ht="15" hidden="false" customHeight="false" outlineLevel="0" collapsed="false">
      <c r="A42" s="32" t="s">
        <v>179</v>
      </c>
      <c r="C42" s="33" t="s">
        <v>180</v>
      </c>
    </row>
    <row r="43" customFormat="false" ht="15" hidden="false" customHeight="false" outlineLevel="0" collapsed="false">
      <c r="A43" s="32" t="s">
        <v>181</v>
      </c>
      <c r="C43" s="33" t="s">
        <v>182</v>
      </c>
    </row>
    <row r="44" customFormat="false" ht="15" hidden="false" customHeight="false" outlineLevel="0" collapsed="false">
      <c r="A44" s="32" t="s">
        <v>183</v>
      </c>
      <c r="C44" s="33" t="s">
        <v>184</v>
      </c>
    </row>
    <row r="45" customFormat="false" ht="15" hidden="false" customHeight="false" outlineLevel="0" collapsed="false">
      <c r="A45" s="32" t="s">
        <v>185</v>
      </c>
      <c r="C45" s="33" t="s">
        <v>186</v>
      </c>
    </row>
    <row r="46" customFormat="false" ht="15" hidden="false" customHeight="false" outlineLevel="0" collapsed="false">
      <c r="A46" s="32" t="s">
        <v>187</v>
      </c>
      <c r="C46" s="33" t="s">
        <v>188</v>
      </c>
    </row>
  </sheetData>
  <conditionalFormatting sqref="S5:S32">
    <cfRule type="expression" priority="2" aboveAverage="0" equalAverage="0" bottom="0" percent="0" rank="0" text="" dxfId="10">
      <formula>LEFT($S5,9)="Not a fit"</formula>
    </cfRule>
    <cfRule type="expression" priority="3" aboveAverage="0" equalAverage="0" bottom="0" percent="0" rank="0" text="" dxfId="11">
      <formula>LEFT($S5,6)="Tier 1"</formula>
    </cfRule>
    <cfRule type="expression" priority="4" aboveAverage="0" equalAverage="0" bottom="0" percent="0" rank="0" text="" dxfId="12">
      <formula>LEFT($S5,6)="Tier 2"</formula>
    </cfRule>
    <cfRule type="expression" priority="5" aboveAverage="0" equalAverage="0" bottom="0" percent="0" rank="0" text="" dxfId="13">
      <formula>LEFT($S5,6)="Tier 3"</formula>
    </cfRule>
  </conditionalFormatting>
  <conditionalFormatting sqref="P5:R32">
    <cfRule type="expression" priority="6" aboveAverage="0" equalAverage="0" bottom="0" percent="0" rank="0" text="" dxfId="14">
      <formula>P5&gt;Assumptions!$C$10</formula>
    </cfRule>
    <cfRule type="expression" priority="7" aboveAverage="0" equalAverage="0" bottom="0" percent="0" rank="0" text="" dxfId="15">
      <formula>P5&lt;=Assumptions!$C$9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4" min="3" style="0" width="13"/>
  </cols>
  <sheetData>
    <row r="2" customFormat="false" ht="19.7" hidden="false" customHeight="false" outlineLevel="0" collapsed="false">
      <c r="B2" s="1" t="s">
        <v>189</v>
      </c>
    </row>
    <row r="3" customFormat="false" ht="15" hidden="false" customHeight="false" outlineLevel="0" collapsed="false">
      <c r="B3" s="2" t="s">
        <v>190</v>
      </c>
    </row>
    <row r="5" customFormat="false" ht="15" hidden="false" customHeight="false" outlineLevel="0" collapsed="false">
      <c r="B5" s="3" t="s">
        <v>191</v>
      </c>
    </row>
    <row r="6" customFormat="false" ht="43.5" hidden="false" customHeight="true" outlineLevel="0" collapsed="false">
      <c r="B6" s="13" t="s">
        <v>192</v>
      </c>
      <c r="C6" s="12" t="s">
        <v>193</v>
      </c>
      <c r="D6" s="12" t="s">
        <v>194</v>
      </c>
      <c r="E6" s="12" t="s">
        <v>195</v>
      </c>
      <c r="F6" s="12" t="s">
        <v>196</v>
      </c>
    </row>
    <row r="7" customFormat="false" ht="15" hidden="false" customHeight="false" outlineLevel="0" collapsed="false">
      <c r="B7" s="34" t="n">
        <v>0.01</v>
      </c>
      <c r="C7" s="35" t="n">
        <f aca="false">(2*Assumptions!$C$23*($B7*(1-$B7)+$B7*(1+Assumptions!$C$11)*(1-$B7*(1+Assumptions!$C$11)))/($B7*Assumptions!$C$11)^2/Assumptions!$C$14)*(30/(7*Assumptions!$C$9))^Assumptions!$C$16</f>
        <v>2568550.56061674</v>
      </c>
      <c r="D7" s="35" t="n">
        <f aca="false">(2*Assumptions!$C$23*($B7*(1-$B7)+$B7*(1+Assumptions!$C$11)*(1-$B7*(1+Assumptions!$C$11)))/($B7*Assumptions!$C$11)^2/Assumptions!$C$14)*(30/(7*Assumptions!$C$10))^Assumptions!$C$16</f>
        <v>1768822.12002907</v>
      </c>
      <c r="E7" s="35" t="n">
        <f aca="false">(2*Assumptions!$C$23*($B7*(1-$B7)+$B7*(1+Assumptions!$C$12)*(1-$B7*(1+Assumptions!$C$12)))/($B7*Assumptions!$C$12)^2/Assumptions!$C$14)*(30/(7*Assumptions!$C$10))^Assumptions!$C$16</f>
        <v>452868.502964354</v>
      </c>
      <c r="F7" s="35" t="n">
        <f aca="false">(2*Assumptions!$C$23*($B7*(1-$B7)+$B7*(1+Assumptions!$C$13)*(1-$B7*(1+Assumptions!$C$13)))/($B7*Assumptions!$C$13)^2/Assumptions!$C$14)*(30/(7*Assumptions!$C$10))^Assumptions!$C$16</f>
        <v>118540.43927153</v>
      </c>
    </row>
    <row r="8" customFormat="false" ht="15" hidden="false" customHeight="false" outlineLevel="0" collapsed="false">
      <c r="B8" s="34" t="n">
        <v>0.02</v>
      </c>
      <c r="C8" s="35" t="n">
        <f aca="false">(2*Assumptions!$C$23*($B8*(1-$B8)+$B8*(1+Assumptions!$C$11)*(1-$B8*(1+Assumptions!$C$11)))/($B8*Assumptions!$C$11)^2/Assumptions!$C$14)*(30/(7*Assumptions!$C$9))^Assumptions!$C$16</f>
        <v>1270967.13813388</v>
      </c>
      <c r="D8" s="35" t="n">
        <f aca="false">(2*Assumptions!$C$23*($B8*(1-$B8)+$B8*(1+Assumptions!$C$11)*(1-$B8*(1+Assumptions!$C$11)))/($B8*Assumptions!$C$11)^2/Assumptions!$C$14)*(30/(7*Assumptions!$C$10))^Assumptions!$C$16</f>
        <v>875246.460876148</v>
      </c>
      <c r="E8" s="35" t="n">
        <f aca="false">(2*Assumptions!$C$23*($B8*(1-$B8)+$B8*(1+Assumptions!$C$12)*(1-$B8*(1+Assumptions!$C$12)))/($B8*Assumptions!$C$12)^2/Assumptions!$C$14)*(30/(7*Assumptions!$C$10))^Assumptions!$C$16</f>
        <v>224025.956108118</v>
      </c>
      <c r="F8" s="35" t="n">
        <f aca="false">(2*Assumptions!$C$23*($B8*(1-$B8)+$B8*(1+Assumptions!$C$13)*(1-$B8*(1+Assumptions!$C$13)))/($B8*Assumptions!$C$13)^2/Assumptions!$C$14)*(30/(7*Assumptions!$C$10))^Assumptions!$C$16</f>
        <v>58605.4865234683</v>
      </c>
    </row>
    <row r="9" customFormat="false" ht="15" hidden="false" customHeight="false" outlineLevel="0" collapsed="false">
      <c r="B9" s="34" t="n">
        <v>0.035</v>
      </c>
      <c r="C9" s="35" t="n">
        <f aca="false">(2*Assumptions!$C$23*($B9*(1-$B9)+$B9*(1+Assumptions!$C$11)*(1-$B9*(1+Assumptions!$C$11)))/($B9*Assumptions!$C$11)^2/Assumptions!$C$14)*(30/(7*Assumptions!$C$9))^Assumptions!$C$16</f>
        <v>714859.957069799</v>
      </c>
      <c r="D9" s="35" t="n">
        <f aca="false">(2*Assumptions!$C$23*($B9*(1-$B9)+$B9*(1+Assumptions!$C$11)*(1-$B9*(1+Assumptions!$C$11)))/($B9*Assumptions!$C$11)^2/Assumptions!$C$14)*(30/(7*Assumptions!$C$10))^Assumptions!$C$16</f>
        <v>492285.464096326</v>
      </c>
      <c r="E9" s="35" t="n">
        <f aca="false">(2*Assumptions!$C$23*($B9*(1-$B9)+$B9*(1+Assumptions!$C$12)*(1-$B9*(1+Assumptions!$C$12)))/($B9*Assumptions!$C$12)^2/Assumptions!$C$14)*(30/(7*Assumptions!$C$10))^Assumptions!$C$16</f>
        <v>125950.578884018</v>
      </c>
      <c r="F9" s="35" t="n">
        <f aca="false">(2*Assumptions!$C$23*($B9*(1-$B9)+$B9*(1+Assumptions!$C$13)*(1-$B9*(1+Assumptions!$C$13)))/($B9*Assumptions!$C$13)^2/Assumptions!$C$14)*(30/(7*Assumptions!$C$10))^Assumptions!$C$16</f>
        <v>32919.0782028704</v>
      </c>
    </row>
    <row r="10" customFormat="false" ht="15" hidden="false" customHeight="false" outlineLevel="0" collapsed="false">
      <c r="B10" s="34" t="n">
        <v>0.05</v>
      </c>
      <c r="C10" s="35" t="n">
        <f aca="false">(2*Assumptions!$C$23*($B10*(1-$B10)+$B10*(1+Assumptions!$C$11)*(1-$B10*(1+Assumptions!$C$11)))/($B10*Assumptions!$C$11)^2/Assumptions!$C$14)*(30/(7*Assumptions!$C$9))^Assumptions!$C$16</f>
        <v>492417.084644166</v>
      </c>
      <c r="D10" s="35" t="n">
        <f aca="false">(2*Assumptions!$C$23*($B10*(1-$B10)+$B10*(1+Assumptions!$C$11)*(1-$B10*(1+Assumptions!$C$11)))/($B10*Assumptions!$C$11)^2/Assumptions!$C$14)*(30/(7*Assumptions!$C$10))^Assumptions!$C$16</f>
        <v>339101.065384397</v>
      </c>
      <c r="E10" s="35" t="n">
        <f aca="false">(2*Assumptions!$C$23*($B10*(1-$B10)+$B10*(1+Assumptions!$C$12)*(1-$B10*(1+Assumptions!$C$12)))/($B10*Assumptions!$C$12)^2/Assumptions!$C$14)*(30/(7*Assumptions!$C$10))^Assumptions!$C$16</f>
        <v>86720.4279943772</v>
      </c>
      <c r="F10" s="35" t="n">
        <f aca="false">(2*Assumptions!$C$23*($B10*(1-$B10)+$B10*(1+Assumptions!$C$13)*(1-$B10*(1+Assumptions!$C$13)))/($B10*Assumptions!$C$13)^2/Assumptions!$C$14)*(30/(7*Assumptions!$C$10))^Assumptions!$C$16</f>
        <v>22644.5148746313</v>
      </c>
    </row>
    <row r="11" customFormat="false" ht="15" hidden="false" customHeight="false" outlineLevel="0" collapsed="false">
      <c r="B11" s="34" t="n">
        <v>0.08</v>
      </c>
      <c r="C11" s="35" t="n">
        <f aca="false">(2*Assumptions!$C$23*($B11*(1-$B11)+$B11*(1+Assumptions!$C$11)*(1-$B11*(1+Assumptions!$C$11)))/($B11*Assumptions!$C$11)^2/Assumptions!$C$14)*(30/(7*Assumptions!$C$9))^Assumptions!$C$16</f>
        <v>297779.571271737</v>
      </c>
      <c r="D11" s="35" t="n">
        <f aca="false">(2*Assumptions!$C$23*($B11*(1-$B11)+$B11*(1+Assumptions!$C$11)*(1-$B11*(1+Assumptions!$C$11)))/($B11*Assumptions!$C$11)^2/Assumptions!$C$14)*(30/(7*Assumptions!$C$10))^Assumptions!$C$16</f>
        <v>205064.716511459</v>
      </c>
      <c r="E11" s="35" t="n">
        <f aca="false">(2*Assumptions!$C$23*($B11*(1-$B11)+$B11*(1+Assumptions!$C$12)*(1-$B11*(1+Assumptions!$C$12)))/($B11*Assumptions!$C$12)^2/Assumptions!$C$14)*(30/(7*Assumptions!$C$10))^Assumptions!$C$16</f>
        <v>52394.0459659419</v>
      </c>
      <c r="F11" s="35" t="n">
        <f aca="false">(2*Assumptions!$C$23*($B11*(1-$B11)+$B11*(1+Assumptions!$C$13)*(1-$B11*(1+Assumptions!$C$13)))/($B11*Assumptions!$C$13)^2/Assumptions!$C$14)*(30/(7*Assumptions!$C$10))^Assumptions!$C$16</f>
        <v>13654.271962422</v>
      </c>
    </row>
    <row r="13" customFormat="false" ht="15" hidden="false" customHeight="false" outlineLevel="0" collapsed="false">
      <c r="B13" s="3" t="s">
        <v>197</v>
      </c>
    </row>
    <row r="14" customFormat="false" ht="43.5" hidden="false" customHeight="true" outlineLevel="0" collapsed="false">
      <c r="B14" s="13" t="s">
        <v>192</v>
      </c>
      <c r="C14" s="12" t="s">
        <v>193</v>
      </c>
      <c r="D14" s="12" t="s">
        <v>194</v>
      </c>
      <c r="E14" s="12" t="s">
        <v>195</v>
      </c>
      <c r="F14" s="12" t="s">
        <v>196</v>
      </c>
    </row>
    <row r="15" customFormat="false" ht="15" hidden="false" customHeight="false" outlineLevel="0" collapsed="false">
      <c r="B15" s="34" t="n">
        <v>0.01</v>
      </c>
      <c r="C15" s="35" t="n">
        <f aca="false">(2*Assumptions!$C$23*($B15*(1-$B15)+$B15*(1+Assumptions!$C$11)*(1-$B15*(1+Assumptions!$C$11)))/($B15*Assumptions!$C$11)^2/Assumptions!$C$14)*(30/(7*Assumptions!$C$9))^Assumptions!$C$16*$B15*Assumptions!$C$17</f>
        <v>28254.0561667842</v>
      </c>
      <c r="D15" s="35" t="n">
        <f aca="false">(2*Assumptions!$C$23*($B15*(1-$B15)+$B15*(1+Assumptions!$C$11)*(1-$B15*(1+Assumptions!$C$11)))/($B15*Assumptions!$C$11)^2/Assumptions!$C$14)*(30/(7*Assumptions!$C$10))^Assumptions!$C$16*$B15*Assumptions!$C$17</f>
        <v>19457.0433203197</v>
      </c>
      <c r="E15" s="35" t="n">
        <f aca="false">(2*Assumptions!$C$23*($B15*(1-$B15)+$B15*(1+Assumptions!$C$12)*(1-$B15*(1+Assumptions!$C$12)))/($B15*Assumptions!$C$12)^2/Assumptions!$C$14)*(30/(7*Assumptions!$C$10))^Assumptions!$C$16*$B15*Assumptions!$C$17</f>
        <v>4981.55353260789</v>
      </c>
      <c r="F15" s="35" t="n">
        <f aca="false">(2*Assumptions!$C$23*($B15*(1-$B15)+$B15*(1+Assumptions!$C$13)*(1-$B15*(1+Assumptions!$C$13)))/($B15*Assumptions!$C$13)^2/Assumptions!$C$14)*(30/(7*Assumptions!$C$10))^Assumptions!$C$16*$B15*Assumptions!$C$17</f>
        <v>1303.94483198683</v>
      </c>
    </row>
    <row r="16" customFormat="false" ht="15" hidden="false" customHeight="false" outlineLevel="0" collapsed="false">
      <c r="B16" s="34" t="n">
        <v>0.02</v>
      </c>
      <c r="C16" s="35" t="n">
        <f aca="false">(2*Assumptions!$C$23*($B16*(1-$B16)+$B16*(1+Assumptions!$C$11)*(1-$B16*(1+Assumptions!$C$11)))/($B16*Assumptions!$C$11)^2/Assumptions!$C$14)*(30/(7*Assumptions!$C$9))^Assumptions!$C$16*$B16*Assumptions!$C$17</f>
        <v>27961.2770389454</v>
      </c>
      <c r="D16" s="35" t="n">
        <f aca="false">(2*Assumptions!$C$23*($B16*(1-$B16)+$B16*(1+Assumptions!$C$11)*(1-$B16*(1+Assumptions!$C$11)))/($B16*Assumptions!$C$11)^2/Assumptions!$C$14)*(30/(7*Assumptions!$C$10))^Assumptions!$C$16*$B16*Assumptions!$C$17</f>
        <v>19255.4221392753</v>
      </c>
      <c r="E16" s="35" t="n">
        <f aca="false">(2*Assumptions!$C$23*($B16*(1-$B16)+$B16*(1+Assumptions!$C$12)*(1-$B16*(1+Assumptions!$C$12)))/($B16*Assumptions!$C$12)^2/Assumptions!$C$14)*(30/(7*Assumptions!$C$10))^Assumptions!$C$16*$B16*Assumptions!$C$17</f>
        <v>4928.57103437861</v>
      </c>
      <c r="F16" s="35" t="n">
        <f aca="false">(2*Assumptions!$C$23*($B16*(1-$B16)+$B16*(1+Assumptions!$C$13)*(1-$B16*(1+Assumptions!$C$13)))/($B16*Assumptions!$C$13)^2/Assumptions!$C$14)*(30/(7*Assumptions!$C$10))^Assumptions!$C$16*$B16*Assumptions!$C$17</f>
        <v>1289.3207035163</v>
      </c>
    </row>
    <row r="17" customFormat="false" ht="15" hidden="false" customHeight="false" outlineLevel="0" collapsed="false">
      <c r="B17" s="34" t="n">
        <v>0.035</v>
      </c>
      <c r="C17" s="35" t="n">
        <f aca="false">(2*Assumptions!$C$23*($B17*(1-$B17)+$B17*(1+Assumptions!$C$11)*(1-$B17*(1+Assumptions!$C$11)))/($B17*Assumptions!$C$11)^2/Assumptions!$C$14)*(30/(7*Assumptions!$C$9))^Assumptions!$C$16*$B17*Assumptions!$C$17</f>
        <v>27522.1083471873</v>
      </c>
      <c r="D17" s="35" t="n">
        <f aca="false">(2*Assumptions!$C$23*($B17*(1-$B17)+$B17*(1+Assumptions!$C$11)*(1-$B17*(1+Assumptions!$C$11)))/($B17*Assumptions!$C$11)^2/Assumptions!$C$14)*(30/(7*Assumptions!$C$10))^Assumptions!$C$16*$B17*Assumptions!$C$17</f>
        <v>18952.9903677085</v>
      </c>
      <c r="E17" s="35" t="n">
        <f aca="false">(2*Assumptions!$C$23*($B17*(1-$B17)+$B17*(1+Assumptions!$C$12)*(1-$B17*(1+Assumptions!$C$12)))/($B17*Assumptions!$C$12)^2/Assumptions!$C$14)*(30/(7*Assumptions!$C$10))^Assumptions!$C$16*$B17*Assumptions!$C$17</f>
        <v>4849.09728703468</v>
      </c>
      <c r="F17" s="35" t="n">
        <f aca="false">(2*Assumptions!$C$23*($B17*(1-$B17)+$B17*(1+Assumptions!$C$13)*(1-$B17*(1+Assumptions!$C$13)))/($B17*Assumptions!$C$13)^2/Assumptions!$C$14)*(30/(7*Assumptions!$C$10))^Assumptions!$C$16*$B17*Assumptions!$C$17</f>
        <v>1267.38451081051</v>
      </c>
    </row>
    <row r="18" customFormat="false" ht="15" hidden="false" customHeight="false" outlineLevel="0" collapsed="false">
      <c r="B18" s="34" t="n">
        <v>0.05</v>
      </c>
      <c r="C18" s="35" t="n">
        <f aca="false">(2*Assumptions!$C$23*($B18*(1-$B18)+$B18*(1+Assumptions!$C$11)*(1-$B18*(1+Assumptions!$C$11)))/($B18*Assumptions!$C$11)^2/Assumptions!$C$14)*(30/(7*Assumptions!$C$9))^Assumptions!$C$16*$B18*Assumptions!$C$17</f>
        <v>27082.9396554291</v>
      </c>
      <c r="D18" s="35" t="n">
        <f aca="false">(2*Assumptions!$C$23*($B18*(1-$B18)+$B18*(1+Assumptions!$C$11)*(1-$B18*(1+Assumptions!$C$11)))/($B18*Assumptions!$C$11)^2/Assumptions!$C$14)*(30/(7*Assumptions!$C$10))^Assumptions!$C$16*$B18*Assumptions!$C$17</f>
        <v>18650.5585961418</v>
      </c>
      <c r="E18" s="35" t="n">
        <f aca="false">(2*Assumptions!$C$23*($B18*(1-$B18)+$B18*(1+Assumptions!$C$12)*(1-$B18*(1+Assumptions!$C$12)))/($B18*Assumptions!$C$12)^2/Assumptions!$C$14)*(30/(7*Assumptions!$C$10))^Assumptions!$C$16*$B18*Assumptions!$C$17</f>
        <v>4769.62353969075</v>
      </c>
      <c r="F18" s="35" t="n">
        <f aca="false">(2*Assumptions!$C$23*($B18*(1-$B18)+$B18*(1+Assumptions!$C$13)*(1-$B18*(1+Assumptions!$C$13)))/($B18*Assumptions!$C$13)^2/Assumptions!$C$14)*(30/(7*Assumptions!$C$10))^Assumptions!$C$16*$B18*Assumptions!$C$17</f>
        <v>1245.44831810472</v>
      </c>
    </row>
    <row r="19" customFormat="false" ht="15" hidden="false" customHeight="false" outlineLevel="0" collapsed="false">
      <c r="B19" s="34" t="n">
        <v>0.08</v>
      </c>
      <c r="C19" s="35" t="n">
        <f aca="false">(2*Assumptions!$C$23*($B19*(1-$B19)+$B19*(1+Assumptions!$C$11)*(1-$B19*(1+Assumptions!$C$11)))/($B19*Assumptions!$C$11)^2/Assumptions!$C$14)*(30/(7*Assumptions!$C$9))^Assumptions!$C$16*$B19*Assumptions!$C$17</f>
        <v>26204.6022719129</v>
      </c>
      <c r="D19" s="35" t="n">
        <f aca="false">(2*Assumptions!$C$23*($B19*(1-$B19)+$B19*(1+Assumptions!$C$11)*(1-$B19*(1+Assumptions!$C$11)))/($B19*Assumptions!$C$11)^2/Assumptions!$C$14)*(30/(7*Assumptions!$C$10))^Assumptions!$C$16*$B19*Assumptions!$C$17</f>
        <v>18045.6950530084</v>
      </c>
      <c r="E19" s="35" t="n">
        <f aca="false">(2*Assumptions!$C$23*($B19*(1-$B19)+$B19*(1+Assumptions!$C$12)*(1-$B19*(1+Assumptions!$C$12)))/($B19*Assumptions!$C$12)^2/Assumptions!$C$14)*(30/(7*Assumptions!$C$10))^Assumptions!$C$16*$B19*Assumptions!$C$17</f>
        <v>4610.67604500289</v>
      </c>
      <c r="F19" s="35" t="n">
        <f aca="false">(2*Assumptions!$C$23*($B19*(1-$B19)+$B19*(1+Assumptions!$C$13)*(1-$B19*(1+Assumptions!$C$13)))/($B19*Assumptions!$C$13)^2/Assumptions!$C$14)*(30/(7*Assumptions!$C$10))^Assumptions!$C$16*$B19*Assumptions!$C$17</f>
        <v>1201.57593269314</v>
      </c>
    </row>
    <row r="21" customFormat="false" ht="15" hidden="false" customHeight="false" outlineLevel="0" collapsed="false">
      <c r="B21" s="3" t="s">
        <v>198</v>
      </c>
    </row>
    <row r="22" customFormat="false" ht="43.5" hidden="false" customHeight="true" outlineLevel="0" collapsed="false">
      <c r="B22" s="13" t="s">
        <v>192</v>
      </c>
      <c r="C22" s="12" t="s">
        <v>193</v>
      </c>
      <c r="D22" s="12" t="s">
        <v>194</v>
      </c>
      <c r="E22" s="12" t="s">
        <v>195</v>
      </c>
      <c r="F22" s="12" t="s">
        <v>196</v>
      </c>
    </row>
    <row r="23" customFormat="false" ht="15" hidden="false" customHeight="false" outlineLevel="0" collapsed="false">
      <c r="B23" s="34" t="n">
        <v>0.01</v>
      </c>
      <c r="C23" s="35" t="n">
        <f aca="false">(2*Assumptions!$C$23*($B23*(1-$B23)+$B23*(1+Assumptions!$C$11)*(1-$B23*(1+Assumptions!$C$11)))/($B23*Assumptions!$C$11)^2/Assumptions!$C$14)*(30/(7*Assumptions!$C$9))^Assumptions!$C$16*$B23*Assumptions!$C$17*12/52</f>
        <v>6520.16680771942</v>
      </c>
      <c r="D23" s="35" t="n">
        <f aca="false">(2*Assumptions!$C$23*($B23*(1-$B23)+$B23*(1+Assumptions!$C$11)*(1-$B23*(1+Assumptions!$C$11)))/($B23*Assumptions!$C$11)^2/Assumptions!$C$14)*(30/(7*Assumptions!$C$10))^Assumptions!$C$16*$B23*Assumptions!$C$17*12/52</f>
        <v>4490.08692007379</v>
      </c>
      <c r="E23" s="35" t="n">
        <f aca="false">(2*Assumptions!$C$23*($B23*(1-$B23)+$B23*(1+Assumptions!$C$12)*(1-$B23*(1+Assumptions!$C$12)))/($B23*Assumptions!$C$12)^2/Assumptions!$C$14)*(30/(7*Assumptions!$C$10))^Assumptions!$C$16*$B23*Assumptions!$C$17*12/52</f>
        <v>1149.58927675567</v>
      </c>
      <c r="F23" s="35" t="n">
        <f aca="false">(2*Assumptions!$C$23*($B23*(1-$B23)+$B23*(1+Assumptions!$C$13)*(1-$B23*(1+Assumptions!$C$13)))/($B23*Assumptions!$C$13)^2/Assumptions!$C$14)*(30/(7*Assumptions!$C$10))^Assumptions!$C$16*$B23*Assumptions!$C$17*12/52</f>
        <v>300.910345843115</v>
      </c>
    </row>
    <row r="24" customFormat="false" ht="15" hidden="false" customHeight="false" outlineLevel="0" collapsed="false">
      <c r="B24" s="34" t="n">
        <v>0.02</v>
      </c>
      <c r="C24" s="35" t="n">
        <f aca="false">(2*Assumptions!$C$23*($B24*(1-$B24)+$B24*(1+Assumptions!$C$11)*(1-$B24*(1+Assumptions!$C$11)))/($B24*Assumptions!$C$11)^2/Assumptions!$C$14)*(30/(7*Assumptions!$C$9))^Assumptions!$C$16*$B24*Assumptions!$C$17*12/52</f>
        <v>6452.60239360279</v>
      </c>
      <c r="D24" s="35" t="n">
        <f aca="false">(2*Assumptions!$C$23*($B24*(1-$B24)+$B24*(1+Assumptions!$C$11)*(1-$B24*(1+Assumptions!$C$11)))/($B24*Assumptions!$C$11)^2/Assumptions!$C$14)*(30/(7*Assumptions!$C$10))^Assumptions!$C$16*$B24*Assumptions!$C$17*12/52</f>
        <v>4443.55895521737</v>
      </c>
      <c r="E24" s="35" t="n">
        <f aca="false">(2*Assumptions!$C$23*($B24*(1-$B24)+$B24*(1+Assumptions!$C$12)*(1-$B24*(1+Assumptions!$C$12)))/($B24*Assumptions!$C$12)^2/Assumptions!$C$14)*(30/(7*Assumptions!$C$10))^Assumptions!$C$16*$B24*Assumptions!$C$17*12/52</f>
        <v>1137.36254639506</v>
      </c>
      <c r="F24" s="35" t="n">
        <f aca="false">(2*Assumptions!$C$23*($B24*(1-$B24)+$B24*(1+Assumptions!$C$13)*(1-$B24*(1+Assumptions!$C$13)))/($B24*Assumptions!$C$13)^2/Assumptions!$C$14)*(30/(7*Assumptions!$C$10))^Assumptions!$C$16*$B24*Assumptions!$C$17*12/52</f>
        <v>297.535546965301</v>
      </c>
    </row>
    <row r="25" customFormat="false" ht="15" hidden="false" customHeight="false" outlineLevel="0" collapsed="false">
      <c r="B25" s="34" t="n">
        <v>0.035</v>
      </c>
      <c r="C25" s="35" t="n">
        <f aca="false">(2*Assumptions!$C$23*($B25*(1-$B25)+$B25*(1+Assumptions!$C$11)*(1-$B25*(1+Assumptions!$C$11)))/($B25*Assumptions!$C$11)^2/Assumptions!$C$14)*(30/(7*Assumptions!$C$9))^Assumptions!$C$16*$B25*Assumptions!$C$17*12/52</f>
        <v>6351.25577242783</v>
      </c>
      <c r="D25" s="35" t="n">
        <f aca="false">(2*Assumptions!$C$23*($B25*(1-$B25)+$B25*(1+Assumptions!$C$11)*(1-$B25*(1+Assumptions!$C$11)))/($B25*Assumptions!$C$11)^2/Assumptions!$C$14)*(30/(7*Assumptions!$C$10))^Assumptions!$C$16*$B25*Assumptions!$C$17*12/52</f>
        <v>4373.76700793274</v>
      </c>
      <c r="E25" s="35" t="n">
        <f aca="false">(2*Assumptions!$C$23*($B25*(1-$B25)+$B25*(1+Assumptions!$C$12)*(1-$B25*(1+Assumptions!$C$12)))/($B25*Assumptions!$C$12)^2/Assumptions!$C$14)*(30/(7*Assumptions!$C$10))^Assumptions!$C$16*$B25*Assumptions!$C$17*12/52</f>
        <v>1119.02245085416</v>
      </c>
      <c r="F25" s="35" t="n">
        <f aca="false">(2*Assumptions!$C$23*($B25*(1-$B25)+$B25*(1+Assumptions!$C$13)*(1-$B25*(1+Assumptions!$C$13)))/($B25*Assumptions!$C$13)^2/Assumptions!$C$14)*(30/(7*Assumptions!$C$10))^Assumptions!$C$16*$B25*Assumptions!$C$17*12/52</f>
        <v>292.47334864858</v>
      </c>
    </row>
    <row r="26" customFormat="false" ht="15" hidden="false" customHeight="false" outlineLevel="0" collapsed="false">
      <c r="B26" s="34" t="n">
        <v>0.05</v>
      </c>
      <c r="C26" s="35" t="n">
        <f aca="false">(2*Assumptions!$C$23*($B26*(1-$B26)+$B26*(1+Assumptions!$C$11)*(1-$B26*(1+Assumptions!$C$11)))/($B26*Assumptions!$C$11)^2/Assumptions!$C$14)*(30/(7*Assumptions!$C$9))^Assumptions!$C$16*$B26*Assumptions!$C$17*12/52</f>
        <v>6249.90915125288</v>
      </c>
      <c r="D26" s="35" t="n">
        <f aca="false">(2*Assumptions!$C$23*($B26*(1-$B26)+$B26*(1+Assumptions!$C$11)*(1-$B26*(1+Assumptions!$C$11)))/($B26*Assumptions!$C$11)^2/Assumptions!$C$14)*(30/(7*Assumptions!$C$10))^Assumptions!$C$16*$B26*Assumptions!$C$17*12/52</f>
        <v>4303.97506064811</v>
      </c>
      <c r="E26" s="35" t="n">
        <f aca="false">(2*Assumptions!$C$23*($B26*(1-$B26)+$B26*(1+Assumptions!$C$12)*(1-$B26*(1+Assumptions!$C$12)))/($B26*Assumptions!$C$12)^2/Assumptions!$C$14)*(30/(7*Assumptions!$C$10))^Assumptions!$C$16*$B26*Assumptions!$C$17*12/52</f>
        <v>1100.68235531325</v>
      </c>
      <c r="F26" s="35" t="n">
        <f aca="false">(2*Assumptions!$C$23*($B26*(1-$B26)+$B26*(1+Assumptions!$C$13)*(1-$B26*(1+Assumptions!$C$13)))/($B26*Assumptions!$C$13)^2/Assumptions!$C$14)*(30/(7*Assumptions!$C$10))^Assumptions!$C$16*$B26*Assumptions!$C$17*12/52</f>
        <v>287.411150331859</v>
      </c>
    </row>
    <row r="27" customFormat="false" ht="15" hidden="false" customHeight="false" outlineLevel="0" collapsed="false">
      <c r="B27" s="34" t="n">
        <v>0.08</v>
      </c>
      <c r="C27" s="35" t="n">
        <f aca="false">(2*Assumptions!$C$23*($B27*(1-$B27)+$B27*(1+Assumptions!$C$11)*(1-$B27*(1+Assumptions!$C$11)))/($B27*Assumptions!$C$11)^2/Assumptions!$C$14)*(30/(7*Assumptions!$C$9))^Assumptions!$C$16*$B27*Assumptions!$C$17*12/52</f>
        <v>6047.21590890297</v>
      </c>
      <c r="D27" s="35" t="n">
        <f aca="false">(2*Assumptions!$C$23*($B27*(1-$B27)+$B27*(1+Assumptions!$C$11)*(1-$B27*(1+Assumptions!$C$11)))/($B27*Assumptions!$C$11)^2/Assumptions!$C$14)*(30/(7*Assumptions!$C$10))^Assumptions!$C$16*$B27*Assumptions!$C$17*12/52</f>
        <v>4164.39116607886</v>
      </c>
      <c r="E27" s="35" t="n">
        <f aca="false">(2*Assumptions!$C$23*($B27*(1-$B27)+$B27*(1+Assumptions!$C$12)*(1-$B27*(1+Assumptions!$C$12)))/($B27*Assumptions!$C$12)^2/Assumptions!$C$14)*(30/(7*Assumptions!$C$10))^Assumptions!$C$16*$B27*Assumptions!$C$17*12/52</f>
        <v>1064.00216423144</v>
      </c>
      <c r="F27" s="35" t="n">
        <f aca="false">(2*Assumptions!$C$23*($B27*(1-$B27)+$B27*(1+Assumptions!$C$13)*(1-$B27*(1+Assumptions!$C$13)))/($B27*Assumptions!$C$13)^2/Assumptions!$C$14)*(30/(7*Assumptions!$C$10))^Assumptions!$C$16*$B27*Assumptions!$C$17*12/52</f>
        <v>277.286753698417</v>
      </c>
    </row>
    <row r="29" customFormat="false" ht="15" hidden="false" customHeight="false" outlineLevel="0" collapsed="false">
      <c r="B29" s="3" t="s">
        <v>199</v>
      </c>
      <c r="H29" s="36" t="n">
        <v>0.035</v>
      </c>
    </row>
    <row r="30" customFormat="false" ht="43.5" hidden="false" customHeight="true" outlineLevel="0" collapsed="false">
      <c r="B30" s="13" t="s">
        <v>200</v>
      </c>
      <c r="C30" s="12" t="s">
        <v>193</v>
      </c>
      <c r="D30" s="12" t="s">
        <v>194</v>
      </c>
      <c r="E30" s="12" t="s">
        <v>195</v>
      </c>
      <c r="F30" s="12" t="s">
        <v>196</v>
      </c>
    </row>
    <row r="31" customFormat="false" ht="15" hidden="false" customHeight="false" outlineLevel="0" collapsed="false">
      <c r="B31" s="37" t="n">
        <v>130</v>
      </c>
      <c r="C31" s="38" t="n">
        <f aca="false">(2*Assumptions!$C$23*($H$29*(1-$H$29)+$H$29*(1+Assumptions!$C$11)*(1-$H$29*(1+Assumptions!$C$11)))/($H$29*Assumptions!$C$11)^2/Assumptions!$C$14)*(30/(7*Assumptions!$C$9))^Assumptions!$C$16*$H$29*Assumptions!$C$17*12*$B31/1000000</f>
        <v>42.9344890216121</v>
      </c>
      <c r="D31" s="38" t="n">
        <f aca="false">(2*Assumptions!$C$23*($H$29*(1-$H$29)+$H$29*(1+Assumptions!$C$11)*(1-$H$29*(1+Assumptions!$C$11)))/($H$29*Assumptions!$C$11)^2/Assumptions!$C$14)*(30/(7*Assumptions!$C$10))^Assumptions!$C$16*$H$29*Assumptions!$C$17*12*$B31/1000000</f>
        <v>29.5666649736253</v>
      </c>
      <c r="E31" s="38" t="n">
        <f aca="false">(2*Assumptions!$C$23*($H$29*(1-$H$29)+$H$29*(1+Assumptions!$C$12)*(1-$H$29*(1+Assumptions!$C$12)))/($H$29*Assumptions!$C$12)^2/Assumptions!$C$14)*(30/(7*Assumptions!$C$10))^Assumptions!$C$16*$H$29*Assumptions!$C$17*12*$B31/1000000</f>
        <v>7.5645917677741</v>
      </c>
      <c r="F31" s="38" t="n">
        <f aca="false">(2*Assumptions!$C$23*($H$29*(1-$H$29)+$H$29*(1+Assumptions!$C$13)*(1-$H$29*(1+Assumptions!$C$13)))/($H$29*Assumptions!$C$13)^2/Assumptions!$C$14)*(30/(7*Assumptions!$C$10))^Assumptions!$C$16*$H$29*Assumptions!$C$17*12*$B31/1000000</f>
        <v>1.9771198368644</v>
      </c>
      <c r="H31" s="31" t="s">
        <v>201</v>
      </c>
    </row>
    <row r="32" customFormat="false" ht="15" hidden="false" customHeight="false" outlineLevel="0" collapsed="false">
      <c r="B32" s="37" t="n">
        <v>230</v>
      </c>
      <c r="C32" s="38" t="n">
        <f aca="false">(2*Assumptions!$C$23*($H$29*(1-$H$29)+$H$29*(1+Assumptions!$C$11)*(1-$H$29*(1+Assumptions!$C$11)))/($H$29*Assumptions!$C$11)^2/Assumptions!$C$14)*(30/(7*Assumptions!$C$9))^Assumptions!$C$16*$H$29*Assumptions!$C$17*12*$B32/1000000</f>
        <v>75.9610190382369</v>
      </c>
      <c r="D32" s="38" t="n">
        <f aca="false">(2*Assumptions!$C$23*($H$29*(1-$H$29)+$H$29*(1+Assumptions!$C$11)*(1-$H$29*(1+Assumptions!$C$11)))/($H$29*Assumptions!$C$11)^2/Assumptions!$C$14)*(30/(7*Assumptions!$C$10))^Assumptions!$C$16*$H$29*Assumptions!$C$17*12*$B32/1000000</f>
        <v>52.3102534148756</v>
      </c>
      <c r="E32" s="38" t="n">
        <f aca="false">(2*Assumptions!$C$23*($H$29*(1-$H$29)+$H$29*(1+Assumptions!$C$12)*(1-$H$29*(1+Assumptions!$C$12)))/($H$29*Assumptions!$C$12)^2/Assumptions!$C$14)*(30/(7*Assumptions!$C$10))^Assumptions!$C$16*$H$29*Assumptions!$C$17*12*$B32/1000000</f>
        <v>13.3835085122157</v>
      </c>
      <c r="F32" s="38" t="n">
        <f aca="false">(2*Assumptions!$C$23*($H$29*(1-$H$29)+$H$29*(1+Assumptions!$C$13)*(1-$H$29*(1+Assumptions!$C$13)))/($H$29*Assumptions!$C$13)^2/Assumptions!$C$14)*(30/(7*Assumptions!$C$10))^Assumptions!$C$16*$H$29*Assumptions!$C$17*12*$B32/1000000</f>
        <v>3.49798124983701</v>
      </c>
      <c r="H32" s="31" t="s">
        <v>202</v>
      </c>
    </row>
    <row r="33" customFormat="false" ht="15" hidden="false" customHeight="false" outlineLevel="0" collapsed="false">
      <c r="B33" s="37" t="n">
        <v>310</v>
      </c>
      <c r="C33" s="38" t="n">
        <f aca="false">(2*Assumptions!$C$23*($H$29*(1-$H$29)+$H$29*(1+Assumptions!$C$11)*(1-$H$29*(1+Assumptions!$C$11)))/($H$29*Assumptions!$C$11)^2/Assumptions!$C$14)*(30/(7*Assumptions!$C$9))^Assumptions!$C$16*$H$29*Assumptions!$C$17*12*$B33/1000000</f>
        <v>102.382243051537</v>
      </c>
      <c r="D33" s="38" t="n">
        <f aca="false">(2*Assumptions!$C$23*($H$29*(1-$H$29)+$H$29*(1+Assumptions!$C$11)*(1-$H$29*(1+Assumptions!$C$11)))/($H$29*Assumptions!$C$11)^2/Assumptions!$C$14)*(30/(7*Assumptions!$C$10))^Assumptions!$C$16*$H$29*Assumptions!$C$17*12*$B33/1000000</f>
        <v>70.5051241678758</v>
      </c>
      <c r="E33" s="38" t="n">
        <f aca="false">(2*Assumptions!$C$23*($H$29*(1-$H$29)+$H$29*(1+Assumptions!$C$12)*(1-$H$29*(1+Assumptions!$C$12)))/($H$29*Assumptions!$C$12)^2/Assumptions!$C$14)*(30/(7*Assumptions!$C$10))^Assumptions!$C$16*$H$29*Assumptions!$C$17*12*$B33/1000000</f>
        <v>18.038641907769</v>
      </c>
      <c r="F33" s="38" t="n">
        <f aca="false">(2*Assumptions!$C$23*($H$29*(1-$H$29)+$H$29*(1+Assumptions!$C$13)*(1-$H$29*(1+Assumptions!$C$13)))/($H$29*Assumptions!$C$13)^2/Assumptions!$C$14)*(30/(7*Assumptions!$C$10))^Assumptions!$C$16*$H$29*Assumptions!$C$17*12*$B33/1000000</f>
        <v>4.7146703802151</v>
      </c>
      <c r="H33" s="31" t="s">
        <v>203</v>
      </c>
    </row>
    <row r="34" customFormat="false" ht="15" hidden="false" customHeight="false" outlineLevel="0" collapsed="false">
      <c r="B34" s="37" t="n">
        <v>1450</v>
      </c>
      <c r="C34" s="38" t="n">
        <f aca="false">(2*Assumptions!$C$23*($H$29*(1-$H$29)+$H$29*(1+Assumptions!$C$11)*(1-$H$29*(1+Assumptions!$C$11)))/($H$29*Assumptions!$C$11)^2/Assumptions!$C$14)*(30/(7*Assumptions!$C$9))^Assumptions!$C$16*$H$29*Assumptions!$C$17*12*$B34/1000000</f>
        <v>478.884685241059</v>
      </c>
      <c r="D34" s="38" t="n">
        <f aca="false">(2*Assumptions!$C$23*($H$29*(1-$H$29)+$H$29*(1+Assumptions!$C$11)*(1-$H$29*(1+Assumptions!$C$11)))/($H$29*Assumptions!$C$11)^2/Assumptions!$C$14)*(30/(7*Assumptions!$C$10))^Assumptions!$C$16*$H$29*Assumptions!$C$17*12*$B34/1000000</f>
        <v>329.782032398129</v>
      </c>
      <c r="E34" s="38" t="n">
        <f aca="false">(2*Assumptions!$C$23*($H$29*(1-$H$29)+$H$29*(1+Assumptions!$C$12)*(1-$H$29*(1+Assumptions!$C$12)))/($H$29*Assumptions!$C$12)^2/Assumptions!$C$14)*(30/(7*Assumptions!$C$10))^Assumptions!$C$16*$H$29*Assumptions!$C$17*12*$B34/1000000</f>
        <v>84.3742927944034</v>
      </c>
      <c r="F34" s="38" t="n">
        <f aca="false">(2*Assumptions!$C$23*($H$29*(1-$H$29)+$H$29*(1+Assumptions!$C$13)*(1-$H$29*(1+Assumptions!$C$13)))/($H$29*Assumptions!$C$13)^2/Assumptions!$C$14)*(30/(7*Assumptions!$C$10))^Assumptions!$C$16*$H$29*Assumptions!$C$17*12*$B34/1000000</f>
        <v>22.0524904881029</v>
      </c>
      <c r="H34" s="31" t="s">
        <v>204</v>
      </c>
    </row>
    <row r="35" customFormat="false" ht="15" hidden="false" customHeight="false" outlineLevel="0" collapsed="false">
      <c r="B35" s="37" t="n">
        <v>1850</v>
      </c>
      <c r="C35" s="38" t="n">
        <f aca="false">(2*Assumptions!$C$23*($H$29*(1-$H$29)+$H$29*(1+Assumptions!$C$11)*(1-$H$29*(1+Assumptions!$C$11)))/($H$29*Assumptions!$C$11)^2/Assumptions!$C$14)*(30/(7*Assumptions!$C$9))^Assumptions!$C$16*$H$29*Assumptions!$C$17*12*$B35/1000000</f>
        <v>610.990805307558</v>
      </c>
      <c r="D35" s="38" t="n">
        <f aca="false">(2*Assumptions!$C$23*($H$29*(1-$H$29)+$H$29*(1+Assumptions!$C$11)*(1-$H$29*(1+Assumptions!$C$11)))/($H$29*Assumptions!$C$11)^2/Assumptions!$C$14)*(30/(7*Assumptions!$C$10))^Assumptions!$C$16*$H$29*Assumptions!$C$17*12*$B35/1000000</f>
        <v>420.75638616313</v>
      </c>
      <c r="E35" s="38" t="n">
        <f aca="false">(2*Assumptions!$C$23*($H$29*(1-$H$29)+$H$29*(1+Assumptions!$C$12)*(1-$H$29*(1+Assumptions!$C$12)))/($H$29*Assumptions!$C$12)^2/Assumptions!$C$14)*(30/(7*Assumptions!$C$10))^Assumptions!$C$16*$H$29*Assumptions!$C$17*12*$B35/1000000</f>
        <v>107.64995977217</v>
      </c>
      <c r="F35" s="38" t="n">
        <f aca="false">(2*Assumptions!$C$23*($H$29*(1-$H$29)+$H$29*(1+Assumptions!$C$13)*(1-$H$29*(1+Assumptions!$C$13)))/($H$29*Assumptions!$C$13)^2/Assumptions!$C$14)*(30/(7*Assumptions!$C$10))^Assumptions!$C$16*$H$29*Assumptions!$C$17*12*$B35/1000000</f>
        <v>28.1359361399934</v>
      </c>
      <c r="H35" s="31" t="s">
        <v>205</v>
      </c>
    </row>
    <row r="37" customFormat="false" ht="15" hidden="false" customHeight="false" outlineLevel="0" collapsed="false">
      <c r="B37" s="33" t="s">
        <v>206</v>
      </c>
    </row>
    <row r="38" customFormat="false" ht="15" hidden="false" customHeight="false" outlineLevel="0" collapsed="false">
      <c r="B38" s="33" t="s">
        <v>207</v>
      </c>
    </row>
    <row r="39" customFormat="false" ht="15" hidden="false" customHeight="false" outlineLevel="0" collapsed="false">
      <c r="B39" s="33" t="s">
        <v>208</v>
      </c>
    </row>
    <row r="40" customFormat="false" ht="15" hidden="false" customHeight="false" outlineLevel="0" collapsed="false">
      <c r="B40" s="33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A2:U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64"/>
  </cols>
  <sheetData>
    <row r="2" customFormat="false" ht="19.7" hidden="false" customHeight="false" outlineLevel="0" collapsed="false">
      <c r="B2" s="1" t="s">
        <v>210</v>
      </c>
    </row>
    <row r="3" customFormat="false" ht="15" hidden="false" customHeight="false" outlineLevel="0" collapsed="false">
      <c r="B3" s="2" t="s">
        <v>211</v>
      </c>
    </row>
    <row r="5" customFormat="false" ht="15" hidden="false" customHeight="false" outlineLevel="0" collapsed="false">
      <c r="B5" s="3" t="s">
        <v>212</v>
      </c>
    </row>
    <row r="6" customFormat="false" ht="15" hidden="false" customHeight="false" outlineLevel="0" collapsed="false">
      <c r="B6" s="33" t="s">
        <v>44</v>
      </c>
      <c r="C6" s="14" t="s">
        <v>213</v>
      </c>
    </row>
    <row r="7" customFormat="false" ht="15" hidden="false" customHeight="false" outlineLevel="0" collapsed="false">
      <c r="B7" s="33" t="s">
        <v>45</v>
      </c>
      <c r="C7" s="14" t="s">
        <v>68</v>
      </c>
    </row>
    <row r="8" customFormat="false" ht="15" hidden="false" customHeight="false" outlineLevel="0" collapsed="false">
      <c r="B8" s="33" t="s">
        <v>214</v>
      </c>
      <c r="C8" s="15" t="n">
        <v>91064</v>
      </c>
    </row>
    <row r="9" customFormat="false" ht="15" hidden="false" customHeight="false" outlineLevel="0" collapsed="false">
      <c r="B9" s="33" t="s">
        <v>215</v>
      </c>
      <c r="C9" s="15" t="n">
        <v>2757319</v>
      </c>
    </row>
    <row r="10" customFormat="false" ht="15" hidden="false" customHeight="false" outlineLevel="0" collapsed="false">
      <c r="B10" s="33" t="s">
        <v>216</v>
      </c>
      <c r="C10" s="16"/>
    </row>
    <row r="11" customFormat="false" ht="15" hidden="false" customHeight="false" outlineLevel="0" collapsed="false">
      <c r="B11" s="33" t="s">
        <v>49</v>
      </c>
      <c r="C11" s="16" t="n">
        <v>128</v>
      </c>
    </row>
    <row r="12" customFormat="false" ht="15" hidden="false" customHeight="false" outlineLevel="0" collapsed="false">
      <c r="B12" s="33" t="s">
        <v>217</v>
      </c>
      <c r="C12" s="17"/>
    </row>
    <row r="13" customFormat="false" ht="15" hidden="false" customHeight="false" outlineLevel="0" collapsed="false">
      <c r="B13" s="33" t="s">
        <v>218</v>
      </c>
      <c r="C13" s="15"/>
    </row>
    <row r="15" customFormat="false" ht="15" hidden="false" customHeight="false" outlineLevel="0" collapsed="false">
      <c r="B15" s="3" t="s">
        <v>219</v>
      </c>
    </row>
    <row r="16" customFormat="false" ht="15" hidden="false" customHeight="false" outlineLevel="0" collapsed="false">
      <c r="B16" s="33" t="s">
        <v>53</v>
      </c>
      <c r="C16" s="39" t="str">
        <f aca="false">J40</f>
        <v>Actual orders</v>
      </c>
    </row>
    <row r="17" customFormat="false" ht="15" hidden="false" customHeight="false" outlineLevel="0" collapsed="false">
      <c r="B17" s="33" t="s">
        <v>220</v>
      </c>
      <c r="C17" s="40" t="n">
        <f aca="false">L40</f>
        <v>82785.4545454545</v>
      </c>
    </row>
    <row r="18" customFormat="false" ht="15" hidden="false" customHeight="false" outlineLevel="0" collapsed="false">
      <c r="B18" s="33" t="s">
        <v>221</v>
      </c>
      <c r="C18" s="40" t="n">
        <f aca="false">M40</f>
        <v>2757319</v>
      </c>
    </row>
    <row r="19" customFormat="false" ht="15" hidden="false" customHeight="false" outlineLevel="0" collapsed="false">
      <c r="B19" s="33" t="s">
        <v>222</v>
      </c>
      <c r="C19" s="41" t="n">
        <f aca="false">N40</f>
        <v>0.0300238944226093</v>
      </c>
    </row>
    <row r="20" customFormat="false" ht="15" hidden="false" customHeight="false" outlineLevel="0" collapsed="false">
      <c r="B20" s="33" t="s">
        <v>223</v>
      </c>
      <c r="C20" s="40" t="n">
        <f aca="false">O40</f>
        <v>21014.7692307692</v>
      </c>
    </row>
    <row r="21" customFormat="false" ht="15" hidden="false" customHeight="false" outlineLevel="0" collapsed="false">
      <c r="B21" s="33" t="s">
        <v>224</v>
      </c>
      <c r="C21" s="42" t="n">
        <f aca="false">P40</f>
        <v>0.547859244404243</v>
      </c>
    </row>
    <row r="22" customFormat="false" ht="15" hidden="false" customHeight="false" outlineLevel="0" collapsed="false">
      <c r="B22" s="33" t="s">
        <v>225</v>
      </c>
      <c r="C22" s="43" t="n">
        <f aca="false">Q40</f>
        <v>0.124520192825416</v>
      </c>
    </row>
    <row r="23" customFormat="false" ht="15" hidden="false" customHeight="false" outlineLevel="0" collapsed="false">
      <c r="B23" s="33" t="s">
        <v>226</v>
      </c>
      <c r="C23" s="43" t="n">
        <f aca="false">R40</f>
        <v>0.0289705169218116</v>
      </c>
    </row>
    <row r="24" customFormat="false" ht="15" hidden="false" customHeight="false" outlineLevel="0" collapsed="false">
      <c r="B24" s="33" t="s">
        <v>62</v>
      </c>
      <c r="C24" s="44" t="str">
        <f aca="false">S40</f>
        <v>Tier 1</v>
      </c>
    </row>
    <row r="25" customFormat="false" ht="31.5" hidden="false" customHeight="true" outlineLevel="0" collapsed="false">
      <c r="B25" s="33" t="s">
        <v>227</v>
      </c>
      <c r="C25" s="39" t="str">
        <f aca="false">T40</f>
        <v>Pursue — trial + fast programme: 5% lifts read in 2–3 weeks</v>
      </c>
    </row>
    <row r="26" customFormat="false" ht="15" hidden="false" customHeight="false" outlineLevel="0" collapsed="false">
      <c r="B26" s="33" t="s">
        <v>228</v>
      </c>
      <c r="C26" s="45" t="n">
        <f aca="false">U40</f>
        <v>139.874304</v>
      </c>
    </row>
    <row r="39" customFormat="false" ht="15" hidden="false" customHeight="false" outlineLevel="0" collapsed="false">
      <c r="A39" s="46" t="s">
        <v>229</v>
      </c>
    </row>
    <row r="40" customFormat="false" ht="15" hidden="false" customHeight="false" outlineLevel="0" collapsed="false">
      <c r="A40" s="46" t="str">
        <f aca="false">IF($C$6="","",$C$6)</f>
        <v>Example — Express (PostHog, 30d)</v>
      </c>
      <c r="B40" s="46" t="str">
        <f aca="false">IF($C$7="","",$C$7)</f>
        <v>Apparel &amp; accessories</v>
      </c>
      <c r="C40" s="47" t="n">
        <f aca="false">IF($C$8="","",$C$8)</f>
        <v>91064</v>
      </c>
      <c r="D40" s="47" t="n">
        <f aca="false">IF($C$9="","",$C$9)</f>
        <v>2757319</v>
      </c>
      <c r="E40" s="46" t="str">
        <f aca="false">IF($C$10="","",$C$10)</f>
        <v/>
      </c>
      <c r="F40" s="48" t="n">
        <f aca="false">IF($C$11="","",$C$11)</f>
        <v>128</v>
      </c>
      <c r="G40" s="46" t="str">
        <f aca="false">IF($C$12="","",$C$12)</f>
        <v/>
      </c>
      <c r="H40" s="46" t="str">
        <f aca="false">IF($C$13="","",$C$13)</f>
        <v/>
      </c>
      <c r="I40" s="46"/>
      <c r="J40" s="49" t="str">
        <f aca="false">IF($C40&lt;&gt;"","Actual orders",IF($E40&lt;&gt;"","Est. from revenue",IF($D40&lt;&gt;"","Est. from traffic × CVR","")))</f>
        <v>Actual orders</v>
      </c>
      <c r="K40" s="50" t="n">
        <f aca="false">IF($F40&lt;&gt;"",$F40,IFERROR(INDEX(Assumptions!$D$28:$D$39,MATCH($B40,Assumptions!$B$28:$B$39,0)),Assumptions!$C$19))</f>
        <v>128</v>
      </c>
      <c r="L40" s="51" t="n">
        <f aca="false">IF($C40&lt;&gt;"",$C40/Assumptions!$C$17,IF($E40&lt;&gt;"",$E40*1000000/12/$K40/Assumptions!$C$17,IF($D40&lt;&gt;"",$D40*IF($G40&lt;&gt;"",$G40,IFERROR(INDEX(Assumptions!$C$28:$C$39,MATCH($B40,Assumptions!$B$28:$B$39,0)),Assumptions!$C$18)),"")))</f>
        <v>82785.4545454545</v>
      </c>
      <c r="M40" s="51" t="n">
        <f aca="false">IF($L40="","",IF($D40&lt;&gt;"",$D40,$L40/IF($G40&lt;&gt;"",$G40,IFERROR(INDEX(Assumptions!$C$28:$C$39,MATCH($B40,Assumptions!$B$28:$B$39,0)),Assumptions!$C$18))))</f>
        <v>2757319</v>
      </c>
      <c r="N40" s="52" t="n">
        <f aca="false">IF($L40="","",MIN($L40/$M40,0.95))</f>
        <v>0.0300238944226093</v>
      </c>
      <c r="O40" s="51" t="n">
        <f aca="false">IF($L40="","",$L40*Assumptions!$C$17*12/52)</f>
        <v>21014.7692307692</v>
      </c>
      <c r="P40" s="53" t="n">
        <f aca="false">IF($L40="","",14*((2*Assumptions!$C$23*($N40*(1-$N40)+$N40*(1+Assumptions!$C$11)*(1-$N40*(1+Assumptions!$C$11)))/($N40*Assumptions!$C$11)^2/Assumptions!$C$14)/($M40*Assumptions!$C$24))^(1/Assumptions!$C$16)/7)</f>
        <v>0.547859244404243</v>
      </c>
      <c r="Q40" s="53" t="n">
        <f aca="false">IF($L40="","",14*((2*Assumptions!$C$23*($N40*(1-$N40)+$N40*(1+Assumptions!$C$12)*(1-$N40*(1+Assumptions!$C$12)))/($N40*Assumptions!$C$12)^2/Assumptions!$C$14)/($M40*Assumptions!$C$24))^(1/Assumptions!$C$16)/7)</f>
        <v>0.124520192825416</v>
      </c>
      <c r="R40" s="53" t="n">
        <f aca="false">IF($L40="","",14*((2*Assumptions!$C$23*($N40*(1-$N40)+$N40*(1+Assumptions!$C$13)*(1-$N40*(1+Assumptions!$C$13)))/($N40*Assumptions!$C$13)^2/Assumptions!$C$14)/($M40*Assumptions!$C$24))^(1/Assumptions!$C$16)/7)</f>
        <v>0.0289705169218116</v>
      </c>
      <c r="S40" s="54" t="str">
        <f aca="false">IF($L40="","",IF($P40&lt;=Assumptions!$C$9,"Tier 1",IF($P40&lt;=Assumptions!$C$10,"Tier 1 (3-wk)",IF($Q40&lt;=Assumptions!$C$10,"Tier 2",IF($R40&lt;=Assumptions!$C$10,"Tier 3",IF(AND($H40&lt;&gt;"",14*((2*Assumptions!$C$23*(MIN($H40*52/12/$M40,0.95)*(1-MIN($H40*52/12/$M40,0.95))+MIN($H40*52/12/$M40,0.95)*(1+Assumptions!$C$12)*(1-MIN($H40*52/12/$M40,0.95)*(1+Assumptions!$C$12)))/(MIN($H40*52/12/$M40,0.95)*Assumptions!$C$12)^2/Assumptions!$C$14)/($M40*Assumptions!$C$24))^(1/Assumptions!$C$16)/7&lt;=Assumptions!$C$10),"Not a fit — micro-conversion tests only","Not a fit"))))))</f>
        <v>Tier 1</v>
      </c>
      <c r="T40" s="49" t="str">
        <f aca="false">IF($S40="","",IF(LEFT($S40,6)="Tier 1","Pursue — trial + fast programme: 5% lifts read in 2–3 weeks",IF($S40="Tier 2","Qualify — bold tests only (10%+ lifts); funnel-wide, 3-week reads",IF($S40="Tier 3","Deprioritise — only exceptional (20%) changes read in 3 weeks",IF($S40="Not a fit","Do not trial A/B — purchase tests cannot read in 3 weeks","Trial only if tests are scored on CTA clicks / leads, not purchases")))))</f>
        <v>Pursue — trial + fast programme: 5% lifts read in 2–3 weeks</v>
      </c>
      <c r="U40" s="50" t="n">
        <f aca="false">IF($L40="","",$L40*Assumptions!$C$17*$K40*12/1000000)</f>
        <v>139.874304</v>
      </c>
    </row>
  </sheetData>
  <conditionalFormatting sqref="C24">
    <cfRule type="expression" priority="2" aboveAverage="0" equalAverage="0" bottom="0" percent="0" rank="0" text="" dxfId="10">
      <formula>LEFT($C$24,9)="Not a fit"</formula>
    </cfRule>
    <cfRule type="expression" priority="3" aboveAverage="0" equalAverage="0" bottom="0" percent="0" rank="0" text="" dxfId="11">
      <formula>LEFT($C$24,6)="Tier 1"</formula>
    </cfRule>
    <cfRule type="expression" priority="4" aboveAverage="0" equalAverage="0" bottom="0" percent="0" rank="0" text="" dxfId="12">
      <formula>LEFT($C$24,6)="Tier 2"</formula>
    </cfRule>
    <cfRule type="expression" priority="5" aboveAverage="0" equalAverage="0" bottom="0" percent="0" rank="0" text="" dxfId="13">
      <formula>LEFT($C$24,6)="Tier 3"</formula>
    </cfRule>
  </conditionalFormatting>
  <dataValidations count="1">
    <dataValidation allowBlank="true" errorStyle="stop" operator="between" showDropDown="false" showErrorMessage="false" showInputMessage="false" sqref="C7" type="list">
      <formula1>Assumptions!$B$28:$B$39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84"/>
  </cols>
  <sheetData>
    <row r="2" customFormat="false" ht="19.7" hidden="false" customHeight="false" outlineLevel="0" collapsed="false">
      <c r="B2" s="1" t="s">
        <v>230</v>
      </c>
    </row>
    <row r="3" customFormat="false" ht="15" hidden="false" customHeight="false" outlineLevel="0" collapsed="false">
      <c r="B3" s="2" t="s">
        <v>231</v>
      </c>
    </row>
    <row r="5" customFormat="false" ht="15" hidden="false" customHeight="false" outlineLevel="0" collapsed="false">
      <c r="B5" s="13" t="s">
        <v>232</v>
      </c>
      <c r="C5" s="13" t="s">
        <v>233</v>
      </c>
      <c r="D5" s="13"/>
      <c r="E5" s="13" t="s">
        <v>234</v>
      </c>
    </row>
    <row r="6" customFormat="false" ht="15" hidden="false" customHeight="false" outlineLevel="0" collapsed="false">
      <c r="B6" s="3" t="s">
        <v>235</v>
      </c>
    </row>
    <row r="7" customFormat="false" ht="15" hidden="false" customHeight="false" outlineLevel="0" collapsed="false">
      <c r="B7" s="33" t="s">
        <v>236</v>
      </c>
      <c r="C7" s="55" t="n">
        <v>0.95</v>
      </c>
      <c r="E7" s="31" t="s">
        <v>237</v>
      </c>
    </row>
    <row r="8" customFormat="false" ht="15" hidden="false" customHeight="false" outlineLevel="0" collapsed="false">
      <c r="B8" s="33" t="s">
        <v>238</v>
      </c>
      <c r="C8" s="55" t="n">
        <v>0.8</v>
      </c>
      <c r="E8" s="31" t="s">
        <v>239</v>
      </c>
    </row>
    <row r="9" customFormat="false" ht="15" hidden="false" customHeight="false" outlineLevel="0" collapsed="false">
      <c r="B9" s="33" t="s">
        <v>240</v>
      </c>
      <c r="C9" s="56" t="n">
        <v>2</v>
      </c>
      <c r="E9" s="31" t="s">
        <v>241</v>
      </c>
    </row>
    <row r="10" customFormat="false" ht="15" hidden="false" customHeight="false" outlineLevel="0" collapsed="false">
      <c r="B10" s="33" t="s">
        <v>242</v>
      </c>
      <c r="C10" s="56" t="n">
        <v>3</v>
      </c>
      <c r="E10" s="31" t="s">
        <v>243</v>
      </c>
    </row>
    <row r="11" customFormat="false" ht="15" hidden="false" customHeight="false" outlineLevel="0" collapsed="false">
      <c r="B11" s="33" t="s">
        <v>244</v>
      </c>
      <c r="C11" s="55" t="n">
        <v>0.05</v>
      </c>
      <c r="E11" s="31" t="s">
        <v>245</v>
      </c>
    </row>
    <row r="12" customFormat="false" ht="15" hidden="false" customHeight="false" outlineLevel="0" collapsed="false">
      <c r="B12" s="33" t="s">
        <v>246</v>
      </c>
      <c r="C12" s="55" t="n">
        <v>0.1</v>
      </c>
      <c r="E12" s="31" t="s">
        <v>247</v>
      </c>
    </row>
    <row r="13" customFormat="false" ht="15" hidden="false" customHeight="false" outlineLevel="0" collapsed="false">
      <c r="B13" s="33" t="s">
        <v>248</v>
      </c>
      <c r="C13" s="55" t="n">
        <v>0.2</v>
      </c>
      <c r="E13" s="31" t="s">
        <v>249</v>
      </c>
    </row>
    <row r="14" customFormat="false" ht="15" hidden="false" customHeight="false" outlineLevel="0" collapsed="false">
      <c r="B14" s="33" t="s">
        <v>250</v>
      </c>
      <c r="C14" s="55" t="n">
        <v>1</v>
      </c>
      <c r="E14" s="31" t="s">
        <v>251</v>
      </c>
    </row>
    <row r="15" customFormat="false" ht="15" hidden="false" customHeight="false" outlineLevel="0" collapsed="false">
      <c r="B15" s="3" t="s">
        <v>252</v>
      </c>
    </row>
    <row r="16" customFormat="false" ht="15" hidden="false" customHeight="false" outlineLevel="0" collapsed="false">
      <c r="B16" s="33" t="s">
        <v>253</v>
      </c>
      <c r="C16" s="57" t="n">
        <v>0.92</v>
      </c>
      <c r="E16" s="31" t="s">
        <v>254</v>
      </c>
    </row>
    <row r="17" customFormat="false" ht="15" hidden="false" customHeight="false" outlineLevel="0" collapsed="false">
      <c r="B17" s="33" t="s">
        <v>255</v>
      </c>
      <c r="C17" s="57" t="n">
        <v>1.1</v>
      </c>
      <c r="E17" s="31" t="s">
        <v>256</v>
      </c>
    </row>
    <row r="18" customFormat="false" ht="15" hidden="false" customHeight="false" outlineLevel="0" collapsed="false">
      <c r="B18" s="33" t="s">
        <v>257</v>
      </c>
      <c r="C18" s="58" t="n">
        <v>0.035</v>
      </c>
      <c r="E18" s="31" t="s">
        <v>258</v>
      </c>
    </row>
    <row r="19" customFormat="false" ht="15" hidden="false" customHeight="false" outlineLevel="0" collapsed="false">
      <c r="B19" s="33" t="s">
        <v>259</v>
      </c>
      <c r="C19" s="59" t="n">
        <v>250</v>
      </c>
      <c r="E19" s="31" t="s">
        <v>260</v>
      </c>
    </row>
    <row r="20" customFormat="false" ht="15" hidden="false" customHeight="false" outlineLevel="0" collapsed="false">
      <c r="B20" s="3" t="s">
        <v>261</v>
      </c>
    </row>
    <row r="21" customFormat="false" ht="15" hidden="false" customHeight="false" outlineLevel="0" collapsed="false">
      <c r="B21" s="33" t="s">
        <v>262</v>
      </c>
      <c r="C21" s="60" t="n">
        <f aca="false">NORMSINV(1-(1-$C$7)/2)</f>
        <v>1.95996398454005</v>
      </c>
      <c r="E21" s="31" t="s">
        <v>263</v>
      </c>
    </row>
    <row r="22" customFormat="false" ht="15" hidden="false" customHeight="false" outlineLevel="0" collapsed="false">
      <c r="B22" s="33" t="s">
        <v>264</v>
      </c>
      <c r="C22" s="60" t="n">
        <f aca="false">NORMSINV($C$8)</f>
        <v>0.841621233572914</v>
      </c>
      <c r="E22" s="31" t="s">
        <v>265</v>
      </c>
    </row>
    <row r="23" customFormat="false" ht="15" hidden="false" customHeight="false" outlineLevel="0" collapsed="false">
      <c r="B23" s="33" t="s">
        <v>266</v>
      </c>
      <c r="C23" s="61" t="n">
        <f aca="false">($C$21+$C$22)^2</f>
        <v>7.84887973434909</v>
      </c>
      <c r="E23" s="31" t="s">
        <v>267</v>
      </c>
    </row>
    <row r="24" customFormat="false" ht="15" hidden="false" customHeight="false" outlineLevel="0" collapsed="false">
      <c r="B24" s="33" t="s">
        <v>268</v>
      </c>
      <c r="C24" s="60" t="n">
        <f aca="false">(14/30)^$C$16</f>
        <v>0.496005210196901</v>
      </c>
      <c r="E24" s="31" t="s">
        <v>269</v>
      </c>
    </row>
    <row r="26" customFormat="false" ht="15" hidden="false" customHeight="false" outlineLevel="0" collapsed="false">
      <c r="B26" s="3" t="s">
        <v>270</v>
      </c>
    </row>
    <row r="27" customFormat="false" ht="15" hidden="false" customHeight="false" outlineLevel="0" collapsed="false">
      <c r="B27" s="13" t="s">
        <v>45</v>
      </c>
      <c r="C27" s="13" t="s">
        <v>271</v>
      </c>
      <c r="D27" s="13" t="s">
        <v>49</v>
      </c>
      <c r="E27" s="13" t="s">
        <v>272</v>
      </c>
    </row>
    <row r="28" customFormat="false" ht="15" hidden="false" customHeight="false" outlineLevel="0" collapsed="false">
      <c r="B28" s="33" t="s">
        <v>68</v>
      </c>
      <c r="C28" s="17" t="n">
        <v>0.0356</v>
      </c>
      <c r="D28" s="16" t="n">
        <v>227</v>
      </c>
      <c r="E28" s="31" t="s">
        <v>273</v>
      </c>
    </row>
    <row r="29" customFormat="false" ht="15" hidden="false" customHeight="false" outlineLevel="0" collapsed="false">
      <c r="B29" s="33" t="s">
        <v>120</v>
      </c>
      <c r="C29" s="17" t="n">
        <v>0.0215</v>
      </c>
      <c r="D29" s="16" t="n">
        <v>238</v>
      </c>
      <c r="E29" s="31" t="s">
        <v>274</v>
      </c>
    </row>
    <row r="30" customFormat="false" ht="15" hidden="false" customHeight="false" outlineLevel="0" collapsed="false">
      <c r="B30" s="33" t="s">
        <v>76</v>
      </c>
      <c r="C30" s="17" t="n">
        <v>0.0795</v>
      </c>
      <c r="D30" s="16" t="n">
        <v>310</v>
      </c>
      <c r="E30" s="31" t="s">
        <v>275</v>
      </c>
    </row>
    <row r="31" customFormat="false" ht="15" hidden="false" customHeight="false" outlineLevel="0" collapsed="false">
      <c r="B31" s="33" t="s">
        <v>117</v>
      </c>
      <c r="C31" s="17" t="n">
        <v>0.0223</v>
      </c>
      <c r="D31" s="16" t="n">
        <v>252</v>
      </c>
      <c r="E31" s="31" t="s">
        <v>276</v>
      </c>
    </row>
    <row r="32" customFormat="false" ht="15" hidden="false" customHeight="false" outlineLevel="0" collapsed="false">
      <c r="B32" s="33" t="s">
        <v>72</v>
      </c>
      <c r="C32" s="17" t="n">
        <v>0.0023</v>
      </c>
      <c r="D32" s="16" t="n">
        <v>1855</v>
      </c>
      <c r="E32" s="31" t="s">
        <v>277</v>
      </c>
    </row>
    <row r="33" customFormat="false" ht="15" hidden="false" customHeight="false" outlineLevel="0" collapsed="false">
      <c r="B33" s="33" t="s">
        <v>136</v>
      </c>
      <c r="C33" s="17" t="n">
        <v>0.0007</v>
      </c>
      <c r="D33" s="16" t="n">
        <v>1445</v>
      </c>
      <c r="E33" s="31" t="s">
        <v>278</v>
      </c>
    </row>
    <row r="34" customFormat="false" ht="15" hidden="false" customHeight="false" outlineLevel="0" collapsed="false">
      <c r="B34" s="33" t="s">
        <v>129</v>
      </c>
      <c r="C34" s="17" t="n">
        <v>0.0359</v>
      </c>
      <c r="D34" s="16" t="n">
        <v>1319</v>
      </c>
      <c r="E34" s="31" t="s">
        <v>279</v>
      </c>
    </row>
    <row r="35" customFormat="false" ht="15" hidden="false" customHeight="false" outlineLevel="0" collapsed="false">
      <c r="B35" s="33" t="s">
        <v>143</v>
      </c>
      <c r="C35" s="17" t="n">
        <v>0.0697</v>
      </c>
      <c r="D35" s="16" t="n">
        <v>132</v>
      </c>
      <c r="E35" s="31" t="s">
        <v>280</v>
      </c>
    </row>
    <row r="36" customFormat="false" ht="15" hidden="false" customHeight="false" outlineLevel="0" collapsed="false">
      <c r="B36" s="33" t="s">
        <v>281</v>
      </c>
      <c r="C36" s="17" t="n">
        <v>0.035</v>
      </c>
      <c r="D36" s="16" t="n">
        <v>75</v>
      </c>
      <c r="E36" s="31" t="s">
        <v>282</v>
      </c>
    </row>
    <row r="37" customFormat="false" ht="15" hidden="false" customHeight="false" outlineLevel="0" collapsed="false">
      <c r="B37" s="33" t="s">
        <v>283</v>
      </c>
      <c r="C37" s="17" t="n">
        <v>0.015</v>
      </c>
      <c r="D37" s="16" t="n">
        <v>250</v>
      </c>
      <c r="E37" s="31" t="s">
        <v>284</v>
      </c>
    </row>
    <row r="38" customFormat="false" ht="15" hidden="false" customHeight="false" outlineLevel="0" collapsed="false">
      <c r="B38" s="33" t="s">
        <v>285</v>
      </c>
      <c r="C38" s="17" t="n">
        <v>0.025</v>
      </c>
      <c r="D38" s="16" t="n">
        <v>115</v>
      </c>
      <c r="E38" s="31" t="s">
        <v>286</v>
      </c>
    </row>
    <row r="39" customFormat="false" ht="15" hidden="false" customHeight="false" outlineLevel="0" collapsed="false">
      <c r="B39" s="33" t="s">
        <v>287</v>
      </c>
      <c r="C39" s="21" t="n">
        <f aca="false">$C$18</f>
        <v>0.035</v>
      </c>
      <c r="D39" s="19" t="n">
        <f aca="false">$C$19</f>
        <v>250</v>
      </c>
      <c r="E39" s="31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2026-10-05T02:59:27Z</dcterms:created>
  <dc:creator>openpyxl</dc:creator>
  <dc:description/>
  <dc:language>en-US</dc:language>
  <cp:lastModifiedBy/>
  <dcterms:modified xsi:type="dcterms:W3CDTF">2026-10-05T02:59:27Z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