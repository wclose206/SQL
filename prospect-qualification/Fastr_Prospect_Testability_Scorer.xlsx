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vmlDrawing2.vml" ContentType="application/vnd.openxmlformats-officedocument.vmlDrawing"/>
  <Override PartName="/xl/_rels/workbook.xml.rels" ContentType="application/vnd.openxmlformats-package.relationships+xml"/>
  <Override PartName="/xl/comments4.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w To Use" sheetId="1" state="visible" r:id="rId3"/>
    <sheet name="Prospect Scorer" sheetId="2" state="visible" r:id="rId4"/>
    <sheet name="Assumptions" sheetId="3" state="visible" r:id="rId5"/>
    <sheet name="Single Calculator" sheetId="4" state="visible" r:id="rId6"/>
    <sheet name="Traffic Thresholds" sheetId="5" state="visible" r:id="rId7"/>
  </sheets>
  <definedNames>
    <definedName function="false" hidden="true" localSheetId="1" name="_xlnm._FilterDatabase" vbProcedure="false">'Prospect Scorer'!$A$4:$P$204</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B4" authorId="0">
      <text>
        <r>
          <rPr>
            <sz val="10"/>
            <rFont val="Arial"/>
            <family val="2"/>
          </rPr>
          <t xml:space="preserve">Annual US ecommerce / digital sales in $ millions. Source: Digital Commerce 360, 10-K, or prospect.</t>
        </r>
      </text>
    </comment>
    <comment ref="C4" authorId="0">
      <text>
        <r>
          <rPr>
            <sz val="10"/>
            <rFont val="Arial"/>
            <family val="2"/>
          </rPr>
          <t xml:space="preserve">Monthly sessions (visits) to the US site. Source: Similarweb/Semrush, or prospect GA4.</t>
        </r>
      </text>
    </comment>
    <comment ref="D4" authorId="0">
      <text>
        <r>
          <rPr>
            <sz val="10"/>
            <rFont val="Arial"/>
            <family val="2"/>
          </rPr>
          <t xml:space="preserve">Average order value. Leave blank to use Assumptions default.</t>
        </r>
      </text>
    </comment>
    <comment ref="N4" authorId="0">
      <text>
        <r>
          <rPr>
            <sz val="10"/>
            <rFont val="Arial"/>
            <family val="2"/>
          </rPr>
          <t xml:space="preserve">Smallest relative lift this site can detect in a 4-week test. Red if &gt;10%: most real wins would be invisible.</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C10" authorId="0">
      <text>
        <r>
          <rPr>
            <sz val="10"/>
            <rFont val="Arial"/>
            <family val="2"/>
          </rPr>
          <t xml:space="preserve">Defaults to the Assumptions tab. Overwrite to model a specific page group.</t>
        </r>
      </text>
    </comment>
  </commentList>
</comments>
</file>

<file path=xl/sharedStrings.xml><?xml version="1.0" encoding="utf-8"?>
<sst xmlns="http://schemas.openxmlformats.org/spreadsheetml/2006/main" count="169" uniqueCount="161">
  <si>
    <t xml:space="preserve">Fastr Optimize — Prospect Testability Scorer</t>
  </si>
  <si>
    <t xml:space="preserve">Tier prospects by how fast an A/B test can reach statistical significance on their traffic — before we offer a trial.</t>
  </si>
  <si>
    <t xml:space="preserve">THE PROBLEM</t>
  </si>
  <si>
    <t xml:space="preserve">Why this exists</t>
  </si>
  <si>
    <t xml:space="preserve">Small sites can't reach significance quickly. Tests run for months, results stay inconclusive, and we can't prove optimization value. This tool screens prospects out before we spend trial and onboarding time on them.</t>
  </si>
  <si>
    <t xml:space="preserve">HOW TO USE</t>
  </si>
  <si>
    <t xml:space="preserve">1. Check Assumptions</t>
  </si>
  <si>
    <t xml:space="preserve">Review the 'Assumptions' tab. Defaults: 95% confidence, 80% power, 5% relative lift (MDE), 2 variants, 50% of site traffic in the test. Change only with good reason — every tab updates.</t>
  </si>
  <si>
    <t xml:space="preserve">2. Score prospects</t>
  </si>
  <si>
    <t xml:space="preserve">On 'Prospect Scorer', enter Company, Annual US Digital Revenue ($M) and Monthly Sessions. AOV is optional (blank uses the default AOV). Tier, weeks-to-significance and recommended action calculate automatically.</t>
  </si>
  <si>
    <t xml:space="preserve">3. Deep-dive one account</t>
  </si>
  <si>
    <t xml:space="preserve">Use 'Single Calculator' in a discovery call to show the prospect the math for their own site.</t>
  </si>
  <si>
    <t xml:space="preserve">4. Quick reference</t>
  </si>
  <si>
    <t xml:space="preserve">'Traffic Thresholds' shows the minimum monthly sessions needed to read a test in 2 / 4 weeks at different conversion rates and lifts — a cheat sheet for reps.</t>
  </si>
  <si>
    <t xml:space="preserve">CELL LEGEND</t>
  </si>
  <si>
    <t xml:space="preserve">Blue text, grey fill</t>
  </si>
  <si>
    <t xml:space="preserve">Input cell — edit these.</t>
  </si>
  <si>
    <t xml:space="preserve">Black text</t>
  </si>
  <si>
    <t xml:space="preserve">Formula — do not overwrite.</t>
  </si>
  <si>
    <t xml:space="preserve">TIER LOGIC</t>
  </si>
  <si>
    <t xml:space="preserve">Tier 1 — Pursue</t>
  </si>
  <si>
    <t xml:space="preserve">Weeks to significance ≤ Tier 1 limit (default 2) AND revenue ≥ Tier 1 floor (default $200M). Can run 20+ clean tests a year. Offer the trial.</t>
  </si>
  <si>
    <t xml:space="preserve">Tier 2 — Qualify</t>
  </si>
  <si>
    <t xml:space="preserve">Weeks ≤ Tier 2 limit (default 4) AND revenue ≥ Tier 2 floor (default $50M). Testable on high-traffic pages only; pitch bigger, bolder tests (≥10% MDE). Trial only with a scoped test plan.</t>
  </si>
  <si>
    <t xml:space="preserve">Tier 3 — Don't trial</t>
  </si>
  <si>
    <t xml:space="preserve">Everything else. Tests would take 4+ weeks per read. Don't offer an A/B testing trial; nurture, or sell non-testing services (speed, UX audit, personalization rules).</t>
  </si>
  <si>
    <t xml:space="preserve">THE MATH</t>
  </si>
  <si>
    <t xml:space="preserve">Revenue per visitor</t>
  </si>
  <si>
    <t xml:space="preserve">Annual revenue ÷ 12 ÷ monthly sessions.</t>
  </si>
  <si>
    <t xml:space="preserve">Conversion rate</t>
  </si>
  <si>
    <t xml:space="preserve">Revenue per visitor ÷ AOV (estimated when only revenue and traffic are known).</t>
  </si>
  <si>
    <t xml:space="preserve">Sample size per variant</t>
  </si>
  <si>
    <t xml:space="preserve">n = (Z₁₋α/₂ + Z₁₋β)² × [p₁(1−p₁) + p₂(1−p₂)] ÷ (p₂ − p₁)², where p₂ = p₁ × (1 + MDE). Standard two-proportion z-test.</t>
  </si>
  <si>
    <t xml:space="preserve">Weeks to significance</t>
  </si>
  <si>
    <t xml:space="preserve">(n × variants) ÷ weekly visitors entering the test. Never run a test under 2 weeks regardless (weekday/weekend cycles).</t>
  </si>
  <si>
    <t xml:space="preserve">Smallest lift readable in 4 wks</t>
  </si>
  <si>
    <t xml:space="preserve">The minimum detectable effect the site can see in a 4-week test. If this is above ~10%, most real-world wins (typically 2–8%) will be invisible.</t>
  </si>
  <si>
    <t xml:space="preserve">REFERENCES</t>
  </si>
  <si>
    <t xml:space="preserve">Sample size / power</t>
  </si>
  <si>
    <t xml:space="preserve">Evan Miller, 'How Not To Run an A/B Test' — https://www.evanmiller.org/how-not-to-run-an-ab-test.html  |  Calculator: https://www.evanmiller.org/ab-testing/sample-size.html</t>
  </si>
  <si>
    <t xml:space="preserve">Minimum detectable effect</t>
  </si>
  <si>
    <t xml:space="preserve">Optimizely glossary — https://www.optimizely.com/optimization-glossary/minimum-detectable-effect/</t>
  </si>
  <si>
    <t xml:space="preserve">Revenue data</t>
  </si>
  <si>
    <t xml:space="preserve">Digital Commerce 360 Top 2000 (US ecommerce sales estimates) — https://www.digitalcommerce360.com/  |  Traffic: Similarweb / Semrush.</t>
  </si>
  <si>
    <t xml:space="preserve">Caveats</t>
  </si>
  <si>
    <t xml:space="preserve">Revenue and traffic estimates from third-party tools can be off by 30%+. Treat borderline accounts (within ~25% of a threshold) as the higher-risk tier until the prospect shares real analytics.</t>
  </si>
  <si>
    <t xml:space="preserve">Prospect Scorer</t>
  </si>
  <si>
    <t xml:space="preserve">Enter blue columns. Example rows (fictional) show the expected format — overwrite them with real prospects.</t>
  </si>
  <si>
    <t xml:space="preserve">Company</t>
  </si>
  <si>
    <t xml:space="preserve">Annual US Digital Revenue ($M)</t>
  </si>
  <si>
    <t xml:space="preserve">Monthly Sessions</t>
  </si>
  <si>
    <t xml:space="preserve">AOV ($) — optional</t>
  </si>
  <si>
    <t xml:space="preserve">Data Source / Notes</t>
  </si>
  <si>
    <t xml:space="preserve">AOV Used ($)</t>
  </si>
  <si>
    <t xml:space="preserve">Revenue per Visitor ($)</t>
  </si>
  <si>
    <t xml:space="preserve">Est. Conversion Rate</t>
  </si>
  <si>
    <t xml:space="preserve">Est. Orders / Month</t>
  </si>
  <si>
    <t xml:space="preserve">Sample Needed per Variant</t>
  </si>
  <si>
    <t xml:space="preserve">Weekly Test Traffic</t>
  </si>
  <si>
    <t xml:space="preserve">Weeks to Significance</t>
  </si>
  <si>
    <t xml:space="preserve">Tests / Year Capacity</t>
  </si>
  <si>
    <t xml:space="preserve">Smallest Lift Readable in 4 wks</t>
  </si>
  <si>
    <t xml:space="preserve">Tier</t>
  </si>
  <si>
    <t xml:space="preserve">Recommended Action</t>
  </si>
  <si>
    <t xml:space="preserve">Pipeline Summary</t>
  </si>
  <si>
    <t xml:space="preserve">Count</t>
  </si>
  <si>
    <t xml:space="preserve">Revenue ($M)</t>
  </si>
  <si>
    <t xml:space="preserve">Example — Big-box retailer</t>
  </si>
  <si>
    <t xml:space="preserve">DC360 + Similarweb</t>
  </si>
  <si>
    <t xml:space="preserve">Tier 1</t>
  </si>
  <si>
    <t xml:space="preserve">Example — Specialty apparel</t>
  </si>
  <si>
    <t xml:space="preserve">Tier 2</t>
  </si>
  <si>
    <t xml:space="preserve">Example — Home furnishings</t>
  </si>
  <si>
    <t xml:space="preserve">Prospect GA4</t>
  </si>
  <si>
    <t xml:space="preserve">Tier 3</t>
  </si>
  <si>
    <t xml:space="preserve">Example — Beauty DTC</t>
  </si>
  <si>
    <t xml:space="preserve">Similarweb</t>
  </si>
  <si>
    <t xml:space="preserve">Total</t>
  </si>
  <si>
    <t xml:space="preserve">Example — Outdoor gear</t>
  </si>
  <si>
    <t xml:space="preserve">Example — Niche B2B supply</t>
  </si>
  <si>
    <t xml:space="preserve">Rep estimate</t>
  </si>
  <si>
    <t xml:space="preserve">Example — Small DTC brand</t>
  </si>
  <si>
    <t xml:space="preserve">Assumptions</t>
  </si>
  <si>
    <t xml:space="preserve">Global settings used by every tab. Blue cells are editable.</t>
  </si>
  <si>
    <t xml:space="preserve">Setting</t>
  </si>
  <si>
    <t xml:space="preserve">Value</t>
  </si>
  <si>
    <t xml:space="preserve">Why / source</t>
  </si>
  <si>
    <t xml:space="preserve">STATISTICS</t>
  </si>
  <si>
    <t xml:space="preserve">Confidence level (1 − α)</t>
  </si>
  <si>
    <t xml:space="preserve">Industry standard. 95% = 5% false-positive risk (two-sided).</t>
  </si>
  <si>
    <t xml:space="preserve">Statistical power (1 − β)</t>
  </si>
  <si>
    <t xml:space="preserve">Industry standard. 80% chance of detecting a real effect of size MDE.</t>
  </si>
  <si>
    <t xml:space="preserve">Minimum detectable effect (relative)</t>
  </si>
  <si>
    <t xml:space="preserve">5% relative lift on conversion rate. Typical winning tests land at 2–8%.</t>
  </si>
  <si>
    <t xml:space="preserve">Number of variants (incl. control)</t>
  </si>
  <si>
    <t xml:space="preserve">Simple A/B. Each extra variant adds a full sample.</t>
  </si>
  <si>
    <t xml:space="preserve">Share of site traffic entering test</t>
  </si>
  <si>
    <t xml:space="preserve">Tests usually target PDP / cart / checkout, not every page. 50% is generous; use 25–30% for page-specific tests.</t>
  </si>
  <si>
    <t xml:space="preserve">Minimum test duration (weeks)</t>
  </si>
  <si>
    <t xml:space="preserve">Always run ≥2 full weeks to cover weekday/weekend cycles.</t>
  </si>
  <si>
    <t xml:space="preserve">Default AOV ($)</t>
  </si>
  <si>
    <t xml:space="preserve">Used when AOV is unknown. Replace with vertical benchmarks (e.g., apparel ~$100–150, home ~$200+).</t>
  </si>
  <si>
    <t xml:space="preserve">Weeks per month</t>
  </si>
  <si>
    <t xml:space="preserve">Converts monthly sessions to weekly.</t>
  </si>
  <si>
    <t xml:space="preserve">TIER THRESHOLDS</t>
  </si>
  <si>
    <t xml:space="preserve">Tier 1 — max weeks to significance</t>
  </si>
  <si>
    <t xml:space="preserve">Fast enough for ~2 tests per month per surface.</t>
  </si>
  <si>
    <t xml:space="preserve">Tier 1 — min annual US digital revenue ($M)</t>
  </si>
  <si>
    <t xml:space="preserve">Mid-market floor (user target: $200M+).</t>
  </si>
  <si>
    <t xml:space="preserve">Tier 2 — max weeks to significance</t>
  </si>
  <si>
    <t xml:space="preserve">Still workable: ~1 test per month.</t>
  </si>
  <si>
    <t xml:space="preserve">Tier 2 — min annual US digital revenue ($M)</t>
  </si>
  <si>
    <t xml:space="preserve">Below this, testing ROI rarely covers the program cost.</t>
  </si>
  <si>
    <t xml:space="preserve">Cap on tests per year (per surface)</t>
  </si>
  <si>
    <t xml:space="preserve">Practical ceiling: ~1 test every 2 weeks per page group.</t>
  </si>
  <si>
    <t xml:space="preserve">DERIVED (do not edit)</t>
  </si>
  <si>
    <t xml:space="preserve">Z (1 − α/2)</t>
  </si>
  <si>
    <t xml:space="preserve">1.960 at 95% confidence.</t>
  </si>
  <si>
    <t xml:space="preserve">Z (1 − β)</t>
  </si>
  <si>
    <t xml:space="preserve">0.842 at 80% power.</t>
  </si>
  <si>
    <t xml:space="preserve">(Zα + Zβ)²</t>
  </si>
  <si>
    <t xml:space="preserve">Sample size multiplier.</t>
  </si>
  <si>
    <t xml:space="preserve">Single Prospect Calculator</t>
  </si>
  <si>
    <t xml:space="preserve">Use live on discovery calls. Inputs override nothing on other tabs.</t>
  </si>
  <si>
    <t xml:space="preserve">INPUTS</t>
  </si>
  <si>
    <t xml:space="preserve">Annual US digital revenue ($M)</t>
  </si>
  <si>
    <t xml:space="preserve">Monthly sessions</t>
  </si>
  <si>
    <t xml:space="preserve">AOV ($)</t>
  </si>
  <si>
    <t xml:space="preserve">Share of traffic on tested page(s)</t>
  </si>
  <si>
    <t xml:space="preserve">Variants (incl. control)</t>
  </si>
  <si>
    <t xml:space="preserve">RESULTS</t>
  </si>
  <si>
    <t xml:space="preserve">Revenue per visitor ($)</t>
  </si>
  <si>
    <t xml:space="preserve">Annual revenue ÷ 12 ÷ monthly sessions</t>
  </si>
  <si>
    <t xml:space="preserve">Estimated conversion rate</t>
  </si>
  <si>
    <t xml:space="preserve">RPV ÷ AOV</t>
  </si>
  <si>
    <t xml:space="preserve">Estimated orders / month</t>
  </si>
  <si>
    <t xml:space="preserve">Sample needed per variant (visitors)</t>
  </si>
  <si>
    <t xml:space="preserve">Two-proportion z-test</t>
  </si>
  <si>
    <t xml:space="preserve">Conversions needed per variant</t>
  </si>
  <si>
    <t xml:space="preserve">Useful sanity check: &lt;~350 per variant is rarely trustworthy</t>
  </si>
  <si>
    <t xml:space="preserve">Weekly visitors entering test</t>
  </si>
  <si>
    <t xml:space="preserve">Red if above Tier 2 limit</t>
  </si>
  <si>
    <t xml:space="preserve">Recommended test length (weeks)</t>
  </si>
  <si>
    <t xml:space="preserve">Rounded up to full weeks, min 2</t>
  </si>
  <si>
    <t xml:space="preserve">Tests / year capacity (per surface)</t>
  </si>
  <si>
    <t xml:space="preserve">Smallest lift readable in 4 weeks</t>
  </si>
  <si>
    <t xml:space="preserve">Red if &gt;10%</t>
  </si>
  <si>
    <t xml:space="preserve">ILLUSTRATIVE VALUE (for the pitch)</t>
  </si>
  <si>
    <t xml:space="preserve">Monthly revenue through tested pages ($)</t>
  </si>
  <si>
    <t xml:space="preserve">Annual value of one winning test at MDE ($)</t>
  </si>
  <si>
    <t xml:space="preserve">If a test wins at exactly the MDE and is rolled out to 100% for a year</t>
  </si>
  <si>
    <t xml:space="preserve">Minimum Monthly Sessions to Read a Test</t>
  </si>
  <si>
    <t xml:space="preserve">Sitewide monthly sessions needed, using Assumptions for confidence, power, variants and traffic share.</t>
  </si>
  <si>
    <t xml:space="preserve">Target test length (weeks)</t>
  </si>
  <si>
    <t xml:space="preserve">← change to 4 to see the Tier 2 floor</t>
  </si>
  <si>
    <t xml:space="preserve">Conversion rate ↓ / Relative lift (MDE) →</t>
  </si>
  <si>
    <t xml:space="preserve">How to read it</t>
  </si>
  <si>
    <t xml:space="preserve">• Example: a 2% conversion-rate site wanting to detect a 5% lift in 2 weeks needs roughly the sessions shown at row 2.0% / column 5%.</t>
  </si>
  <si>
    <t xml:space="preserve">• If a prospect's monthly sessions are below the number in their row for 5–10% lift, testing will be slow — that's a Tier 2/3 signal.</t>
  </si>
  <si>
    <t xml:space="preserve">• Greyed cells (&gt;10M sessions/month) are only realistic for the largest retailers.</t>
  </si>
  <si>
    <t xml:space="preserve">• Values shown in millions of sessions per month.</t>
  </si>
</sst>
</file>

<file path=xl/styles.xml><?xml version="1.0" encoding="utf-8"?>
<styleSheet xmlns="http://schemas.openxmlformats.org/spreadsheetml/2006/main">
  <numFmts count="13">
    <numFmt numFmtId="164" formatCode="General"/>
    <numFmt numFmtId="165" formatCode="\$#,##0"/>
    <numFmt numFmtId="166" formatCode="#,##0"/>
    <numFmt numFmtId="167" formatCode="\$#,##0.00"/>
    <numFmt numFmtId="168" formatCode="0.00%"/>
    <numFmt numFmtId="169" formatCode="0.0"/>
    <numFmt numFmtId="170" formatCode="0"/>
    <numFmt numFmtId="171" formatCode="0.0%"/>
    <numFmt numFmtId="172" formatCode="General"/>
    <numFmt numFmtId="173" formatCode="0.00"/>
    <numFmt numFmtId="174" formatCode="0.000"/>
    <numFmt numFmtId="175" formatCode="0%"/>
    <numFmt numFmtId="176" formatCode="#,##0.0,,\M"/>
  </numFmts>
  <fonts count="15">
    <font>
      <sz val="11"/>
      <color theme="1"/>
      <name val="Calibri"/>
      <family val="2"/>
      <charset val="1"/>
    </font>
    <font>
      <sz val="10"/>
      <name val="Arial"/>
      <family val="0"/>
    </font>
    <font>
      <sz val="10"/>
      <name val="Arial"/>
      <family val="0"/>
    </font>
    <font>
      <sz val="10"/>
      <name val="Arial"/>
      <family val="0"/>
    </font>
    <font>
      <b val="true"/>
      <sz val="16"/>
      <color rgb="FF212121"/>
      <name val="Montserrat"/>
      <family val="0"/>
      <charset val="1"/>
    </font>
    <font>
      <i val="true"/>
      <sz val="10"/>
      <color rgb="FF5A6472"/>
      <name val="Nunito"/>
      <family val="0"/>
      <charset val="1"/>
    </font>
    <font>
      <b val="true"/>
      <sz val="12"/>
      <color rgb="FF164195"/>
      <name val="Montserrat"/>
      <family val="0"/>
      <charset val="1"/>
    </font>
    <font>
      <b val="true"/>
      <sz val="10"/>
      <color rgb="FF212121"/>
      <name val="Nunito"/>
      <family val="0"/>
      <charset val="1"/>
    </font>
    <font>
      <sz val="10"/>
      <color rgb="FF212121"/>
      <name val="Nunito"/>
      <family val="0"/>
      <charset val="1"/>
    </font>
    <font>
      <b val="true"/>
      <sz val="11"/>
      <color rgb="FF0000FF"/>
      <name val="Nunito"/>
      <family val="0"/>
      <charset val="1"/>
    </font>
    <font>
      <b val="true"/>
      <sz val="11"/>
      <color rgb="FFFFFFFF"/>
      <name val="Nunito"/>
      <family val="0"/>
      <charset val="1"/>
    </font>
    <font>
      <b val="true"/>
      <sz val="10"/>
      <color rgb="FFFFFFFF"/>
      <name val="Montserrat"/>
      <family val="0"/>
      <charset val="1"/>
    </font>
    <font>
      <sz val="10"/>
      <name val="Arial"/>
      <family val="2"/>
    </font>
    <font>
      <sz val="9"/>
      <color rgb="FF5A6472"/>
      <name val="Nunito"/>
      <family val="0"/>
      <charset val="1"/>
    </font>
    <font>
      <b val="true"/>
      <sz val="11"/>
      <color rgb="FF0000FF"/>
      <name val="Montserrat"/>
      <family val="0"/>
      <charset val="1"/>
    </font>
  </fonts>
  <fills count="8">
    <fill>
      <patternFill patternType="none"/>
    </fill>
    <fill>
      <patternFill patternType="gray125"/>
    </fill>
    <fill>
      <patternFill patternType="solid">
        <fgColor rgb="FFF1F1F1"/>
        <bgColor rgb="FFE4E7EC"/>
      </patternFill>
    </fill>
    <fill>
      <patternFill patternType="solid">
        <fgColor rgb="FF08A67E"/>
        <bgColor rgb="FF008080"/>
      </patternFill>
    </fill>
    <fill>
      <patternFill patternType="solid">
        <fgColor rgb="FFF3B113"/>
        <bgColor rgb="FFFFCC00"/>
      </patternFill>
    </fill>
    <fill>
      <patternFill patternType="solid">
        <fgColor rgb="FFC3204C"/>
        <bgColor rgb="FF993366"/>
      </patternFill>
    </fill>
    <fill>
      <patternFill patternType="solid">
        <fgColor rgb="FF164195"/>
        <bgColor rgb="FF003366"/>
      </patternFill>
    </fill>
    <fill>
      <patternFill patternType="solid">
        <fgColor rgb="FF1C2A39"/>
        <bgColor rgb="FF212121"/>
      </patternFill>
    </fill>
  </fills>
  <borders count="2">
    <border diagonalUp="false" diagonalDown="false">
      <left/>
      <right/>
      <top/>
      <bottom/>
      <diagonal/>
    </border>
    <border diagonalUp="false" diagonalDown="false">
      <left style="thin">
        <color rgb="FFE4E7EC"/>
      </left>
      <right style="thin">
        <color rgb="FFE4E7EC"/>
      </right>
      <top style="thin">
        <color rgb="FFE4E7EC"/>
      </top>
      <bottom style="thin">
        <color rgb="FFE4E7E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2" borderId="0" xfId="0" applyFont="true" applyBorder="false" applyAlignment="true" applyProtection="false">
      <alignment horizontal="general" vertical="top" textRotation="0" wrapText="true" indent="0" shrinkToFit="false"/>
      <protection locked="true" hidden="false"/>
    </xf>
    <xf numFmtId="164" fontId="10" fillId="3" borderId="0" xfId="0" applyFont="true" applyBorder="false" applyAlignment="true" applyProtection="false">
      <alignment horizontal="general" vertical="top" textRotation="0" wrapText="true" indent="0" shrinkToFit="false"/>
      <protection locked="true" hidden="false"/>
    </xf>
    <xf numFmtId="164" fontId="10" fillId="4" borderId="0" xfId="0" applyFont="true" applyBorder="false" applyAlignment="true" applyProtection="false">
      <alignment horizontal="general" vertical="top" textRotation="0" wrapText="true" indent="0" shrinkToFit="false"/>
      <protection locked="true" hidden="false"/>
    </xf>
    <xf numFmtId="164" fontId="10" fillId="5" borderId="0" xfId="0" applyFont="true" applyBorder="false" applyAlignment="true" applyProtection="false">
      <alignment horizontal="general" vertical="top" textRotation="0" wrapText="true" indent="0" shrinkToFit="false"/>
      <protection locked="true" hidden="false"/>
    </xf>
    <xf numFmtId="164" fontId="11" fillId="6" borderId="0" xfId="0" applyFont="true" applyBorder="false" applyAlignment="true" applyProtection="false">
      <alignment horizontal="center" vertical="center" textRotation="0" wrapText="true" indent="0" shrinkToFit="false"/>
      <protection locked="true" hidden="false"/>
    </xf>
    <xf numFmtId="164" fontId="11" fillId="7" borderId="0" xfId="0" applyFont="true" applyBorder="false" applyAlignment="true" applyProtection="false">
      <alignment horizontal="center" vertical="center" textRotation="0" wrapText="true" indent="0" shrinkToFit="false"/>
      <protection locked="true" hidden="false"/>
    </xf>
    <xf numFmtId="164" fontId="11" fillId="7"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5" fontId="9" fillId="2" borderId="1" xfId="0" applyFont="true" applyBorder="true" applyAlignment="false" applyProtection="false">
      <alignment horizontal="general" vertical="bottom" textRotation="0" wrapText="false" indent="0" shrinkToFit="false"/>
      <protection locked="true" hidden="false"/>
    </xf>
    <xf numFmtId="166" fontId="9" fillId="2"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9" fontId="8" fillId="0" borderId="1" xfId="0" applyFont="true" applyBorder="true" applyAlignment="false" applyProtection="false">
      <alignment horizontal="general" vertical="bottom" textRotation="0" wrapText="false" indent="0" shrinkToFit="false"/>
      <protection locked="true" hidden="false"/>
    </xf>
    <xf numFmtId="170" fontId="8" fillId="0" borderId="1" xfId="0" applyFont="true" applyBorder="true" applyAlignment="false" applyProtection="false">
      <alignment horizontal="general" vertical="bottom" textRotation="0" wrapText="false" indent="0" shrinkToFit="false"/>
      <protection locked="true" hidden="false"/>
    </xf>
    <xf numFmtId="171" fontId="8"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10" fillId="3" borderId="0" xfId="0" applyFont="true" applyBorder="false" applyAlignment="false" applyProtection="false">
      <alignment horizontal="general" vertical="bottom" textRotation="0" wrapText="false" indent="0" shrinkToFit="false"/>
      <protection locked="true" hidden="false"/>
    </xf>
    <xf numFmtId="172" fontId="8"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10" fillId="4" borderId="0" xfId="0" applyFont="true" applyBorder="false" applyAlignment="false" applyProtection="false">
      <alignment horizontal="general" vertical="bottom" textRotation="0" wrapText="false" indent="0" shrinkToFit="false"/>
      <protection locked="true" hidden="false"/>
    </xf>
    <xf numFmtId="164" fontId="10" fillId="5"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71" fontId="9" fillId="2" borderId="1" xfId="0" applyFont="true" applyBorder="true" applyAlignment="true" applyProtection="false">
      <alignment horizontal="right"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70" fontId="9" fillId="2" borderId="1" xfId="0" applyFont="true" applyBorder="true" applyAlignment="true" applyProtection="false">
      <alignment horizontal="right" vertical="bottom" textRotation="0" wrapText="false" indent="0" shrinkToFit="false"/>
      <protection locked="true" hidden="false"/>
    </xf>
    <xf numFmtId="165" fontId="9" fillId="2" borderId="1" xfId="0" applyFont="true" applyBorder="true" applyAlignment="true" applyProtection="false">
      <alignment horizontal="right" vertical="bottom" textRotation="0" wrapText="false" indent="0" shrinkToFit="false"/>
      <protection locked="true" hidden="false"/>
    </xf>
    <xf numFmtId="173" fontId="8" fillId="0" borderId="1" xfId="0" applyFont="true" applyBorder="true" applyAlignment="true" applyProtection="false">
      <alignment horizontal="right" vertical="bottom" textRotation="0" wrapText="false" indent="0" shrinkToFit="false"/>
      <protection locked="true" hidden="false"/>
    </xf>
    <xf numFmtId="169" fontId="9" fillId="2" borderId="1" xfId="0" applyFont="true" applyBorder="true" applyAlignment="true" applyProtection="false">
      <alignment horizontal="right" vertical="bottom" textRotation="0" wrapText="false" indent="0" shrinkToFit="false"/>
      <protection locked="true" hidden="false"/>
    </xf>
    <xf numFmtId="174" fontId="8" fillId="0" borderId="1" xfId="0" applyFont="true" applyBorder="true" applyAlignment="true" applyProtection="false">
      <alignment horizontal="right" vertical="bottom" textRotation="0" wrapText="false" indent="0" shrinkToFit="false"/>
      <protection locked="true" hidden="false"/>
    </xf>
    <xf numFmtId="164" fontId="9" fillId="2" borderId="1" xfId="0" applyFont="true" applyBorder="true" applyAlignment="true" applyProtection="false">
      <alignment horizontal="right" vertical="bottom" textRotation="0" wrapText="false" indent="0" shrinkToFit="false"/>
      <protection locked="true" hidden="false"/>
    </xf>
    <xf numFmtId="166" fontId="9" fillId="2" borderId="1" xfId="0" applyFont="true" applyBorder="true" applyAlignment="true" applyProtection="false">
      <alignment horizontal="right" vertical="bottom" textRotation="0" wrapText="false" indent="0" shrinkToFit="false"/>
      <protection locked="true" hidden="false"/>
    </xf>
    <xf numFmtId="167" fontId="8" fillId="0" borderId="1" xfId="0" applyFont="true" applyBorder="true" applyAlignment="true" applyProtection="false">
      <alignment horizontal="right" vertical="bottom" textRotation="0" wrapText="false" indent="0" shrinkToFit="false"/>
      <protection locked="true" hidden="false"/>
    </xf>
    <xf numFmtId="168" fontId="8" fillId="0" borderId="1" xfId="0" applyFont="true" applyBorder="true" applyAlignment="true" applyProtection="false">
      <alignment horizontal="right" vertical="bottom" textRotation="0" wrapText="false" indent="0" shrinkToFit="false"/>
      <protection locked="true" hidden="false"/>
    </xf>
    <xf numFmtId="166" fontId="8" fillId="0" borderId="1" xfId="0" applyFont="true" applyBorder="true" applyAlignment="true" applyProtection="false">
      <alignment horizontal="right" vertical="bottom" textRotation="0" wrapText="false" indent="0" shrinkToFit="false"/>
      <protection locked="true" hidden="false"/>
    </xf>
    <xf numFmtId="169" fontId="7" fillId="0" borderId="1" xfId="0" applyFont="true" applyBorder="true" applyAlignment="true" applyProtection="false">
      <alignment horizontal="right" vertical="bottom" textRotation="0" wrapText="false" indent="0" shrinkToFit="false"/>
      <protection locked="true" hidden="false"/>
    </xf>
    <xf numFmtId="170" fontId="8" fillId="0" borderId="1" xfId="0" applyFont="true" applyBorder="true" applyAlignment="true" applyProtection="false">
      <alignment horizontal="right" vertical="bottom" textRotation="0" wrapText="false" indent="0" shrinkToFit="false"/>
      <protection locked="true" hidden="false"/>
    </xf>
    <xf numFmtId="171" fontId="8" fillId="0" borderId="1" xfId="0" applyFont="true" applyBorder="true" applyAlignment="true" applyProtection="false">
      <alignment horizontal="right" vertical="bottom" textRotation="0" wrapText="false" indent="0" shrinkToFit="false"/>
      <protection locked="true" hidden="false"/>
    </xf>
    <xf numFmtId="164" fontId="7" fillId="0" borderId="1" xfId="0" applyFont="true" applyBorder="true" applyAlignment="true" applyProtection="false">
      <alignment horizontal="right" vertical="bottom" textRotation="0" wrapText="false" indent="0" shrinkToFit="false"/>
      <protection locked="true" hidden="false"/>
    </xf>
    <xf numFmtId="165" fontId="8" fillId="0" borderId="1" xfId="0" applyFont="true" applyBorder="true" applyAlignment="true" applyProtection="false">
      <alignment horizontal="right" vertical="bottom" textRotation="0" wrapText="false" indent="0" shrinkToFit="false"/>
      <protection locked="true" hidden="false"/>
    </xf>
    <xf numFmtId="175" fontId="14" fillId="2" borderId="0" xfId="0" applyFont="true" applyBorder="false" applyAlignment="true" applyProtection="false">
      <alignment horizontal="center" vertical="center" textRotation="0" wrapText="true" indent="0" shrinkToFit="false"/>
      <protection locked="true" hidden="false"/>
    </xf>
    <xf numFmtId="171" fontId="9" fillId="2" borderId="0" xfId="0" applyFont="true" applyBorder="false" applyAlignment="true" applyProtection="false">
      <alignment horizontal="center" vertical="center" textRotation="0" wrapText="true" indent="0" shrinkToFit="false"/>
      <protection locked="true" hidden="false"/>
    </xf>
    <xf numFmtId="176" fontId="8" fillId="0"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5">
    <dxf>
      <fill>
        <patternFill patternType="solid">
          <fgColor rgb="FF164195"/>
          <bgColor rgb="FF000000"/>
        </patternFill>
      </fill>
    </dxf>
    <dxf>
      <fill>
        <patternFill patternType="solid">
          <fgColor rgb="FFF1F1F1"/>
          <bgColor rgb="FF000000"/>
        </patternFill>
      </fill>
    </dxf>
    <dxf>
      <fill>
        <patternFill patternType="solid">
          <fgColor rgb="FF0000FF"/>
          <bgColor rgb="FF000000"/>
        </patternFill>
      </fill>
    </dxf>
    <dxf>
      <fill>
        <patternFill patternType="solid">
          <fgColor rgb="FFFFFFFF"/>
          <bgColor rgb="FF000000"/>
        </patternFill>
      </fill>
    </dxf>
    <dxf>
      <fill>
        <patternFill patternType="solid">
          <fgColor rgb="FF1C2A39"/>
          <bgColor rgb="FF000000"/>
        </patternFill>
      </fill>
    </dxf>
    <dxf>
      <fill>
        <patternFill patternType="solid">
          <bgColor rgb="FF000000"/>
        </patternFill>
      </fill>
    </dxf>
    <dxf>
      <fill>
        <patternFill patternType="solid">
          <fgColor rgb="FF212121"/>
          <bgColor rgb="FF000000"/>
        </patternFill>
      </fill>
    </dxf>
    <dxf>
      <fill>
        <patternFill patternType="solid">
          <fgColor rgb="FFC3204C"/>
          <bgColor rgb="FF000000"/>
        </patternFill>
      </fill>
    </dxf>
    <dxf>
      <fill>
        <patternFill patternType="solid">
          <fgColor rgb="FF08A67E"/>
          <bgColor rgb="FF000000"/>
        </patternFill>
      </fill>
    </dxf>
    <dxf>
      <fill>
        <patternFill patternType="solid">
          <fgColor rgb="FFF3B113"/>
          <bgColor rgb="FF000000"/>
        </patternFill>
      </fill>
    </dxf>
    <dxf>
      <font>
        <b val="1"/>
        <color rgb="FFFFFFFF"/>
      </font>
      <fill>
        <patternFill>
          <bgColor rgb="FF08A67E"/>
        </patternFill>
      </fill>
    </dxf>
    <dxf>
      <font>
        <b val="1"/>
        <color rgb="FFFFFFFF"/>
      </font>
      <fill>
        <patternFill>
          <bgColor rgb="FFF3B113"/>
        </patternFill>
      </fill>
    </dxf>
    <dxf>
      <font>
        <b val="1"/>
        <color rgb="FFFFFFFF"/>
      </font>
      <fill>
        <patternFill>
          <bgColor rgb="FFC3204C"/>
        </patternFill>
      </fill>
    </dxf>
    <dxf>
      <font>
        <b val="1"/>
        <color rgb="FFC3204C"/>
      </font>
    </dxf>
    <dxf>
      <font>
        <color rgb="FF8A94A3"/>
      </font>
      <fill>
        <patternFill>
          <bgColor rgb="FFF1F1F1"/>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C3204C"/>
      <rgbColor rgb="FFF1F1F1"/>
      <rgbColor rgb="FFE4E7EC"/>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95FF4"/>
      <rgbColor rgb="FF33CCCC"/>
      <rgbColor rgb="FF99CC00"/>
      <rgbColor rgb="FFFFCC00"/>
      <rgbColor rgb="FFF3B113"/>
      <rgbColor rgb="FFFF6600"/>
      <rgbColor rgb="FF5A6472"/>
      <rgbColor rgb="FF8A94A3"/>
      <rgbColor rgb="FF003366"/>
      <rgbColor rgb="FF08A67E"/>
      <rgbColor rgb="FF003300"/>
      <rgbColor rgb="FF212121"/>
      <rgbColor rgb="FF993300"/>
      <rgbColor rgb="FF993366"/>
      <rgbColor rgb="FF164195"/>
      <rgbColor rgb="FF1C2A3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C2A39"/>
    <pageSetUpPr fitToPage="false"/>
  </sheetPr>
  <dimension ref="B2:C2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95"/>
  </cols>
  <sheetData>
    <row r="2" customFormat="false" ht="19.7"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row>
    <row r="6" customFormat="false" ht="45" hidden="false" customHeight="true" outlineLevel="0" collapsed="false">
      <c r="B6" s="4" t="s">
        <v>3</v>
      </c>
      <c r="C6" s="5" t="s">
        <v>4</v>
      </c>
    </row>
    <row r="7" customFormat="false" ht="15" hidden="false" customHeight="false" outlineLevel="0" collapsed="false">
      <c r="B7" s="3" t="s">
        <v>5</v>
      </c>
    </row>
    <row r="8" customFormat="false" ht="30" hidden="false" customHeight="true" outlineLevel="0" collapsed="false">
      <c r="B8" s="4" t="s">
        <v>6</v>
      </c>
      <c r="C8" s="5" t="s">
        <v>7</v>
      </c>
    </row>
    <row r="9" customFormat="false" ht="45" hidden="false" customHeight="true" outlineLevel="0" collapsed="false">
      <c r="B9" s="4" t="s">
        <v>8</v>
      </c>
      <c r="C9" s="5" t="s">
        <v>9</v>
      </c>
    </row>
    <row r="10" customFormat="false" ht="15" hidden="false" customHeight="true" outlineLevel="0" collapsed="false">
      <c r="B10" s="4" t="s">
        <v>10</v>
      </c>
      <c r="C10" s="5" t="s">
        <v>11</v>
      </c>
    </row>
    <row r="11" customFormat="false" ht="30" hidden="false" customHeight="true" outlineLevel="0" collapsed="false">
      <c r="B11" s="4" t="s">
        <v>12</v>
      </c>
      <c r="C11" s="5" t="s">
        <v>13</v>
      </c>
    </row>
    <row r="12" customFormat="false" ht="15" hidden="false" customHeight="false" outlineLevel="0" collapsed="false">
      <c r="B12" s="3" t="s">
        <v>14</v>
      </c>
    </row>
    <row r="13" customFormat="false" ht="15" hidden="false" customHeight="true" outlineLevel="0" collapsed="false">
      <c r="B13" s="6" t="s">
        <v>15</v>
      </c>
      <c r="C13" s="5" t="s">
        <v>16</v>
      </c>
    </row>
    <row r="14" customFormat="false" ht="15" hidden="false" customHeight="true" outlineLevel="0" collapsed="false">
      <c r="B14" s="4" t="s">
        <v>17</v>
      </c>
      <c r="C14" s="5" t="s">
        <v>18</v>
      </c>
    </row>
    <row r="15" customFormat="false" ht="15" hidden="false" customHeight="false" outlineLevel="0" collapsed="false">
      <c r="B15" s="3" t="s">
        <v>19</v>
      </c>
    </row>
    <row r="16" customFormat="false" ht="30" hidden="false" customHeight="true" outlineLevel="0" collapsed="false">
      <c r="B16" s="7" t="s">
        <v>20</v>
      </c>
      <c r="C16" s="5" t="s">
        <v>21</v>
      </c>
    </row>
    <row r="17" customFormat="false" ht="30" hidden="false" customHeight="true" outlineLevel="0" collapsed="false">
      <c r="B17" s="8" t="s">
        <v>22</v>
      </c>
      <c r="C17" s="5" t="s">
        <v>23</v>
      </c>
    </row>
    <row r="18" customFormat="false" ht="30" hidden="false" customHeight="true" outlineLevel="0" collapsed="false">
      <c r="B18" s="9" t="s">
        <v>24</v>
      </c>
      <c r="C18" s="5" t="s">
        <v>25</v>
      </c>
    </row>
    <row r="19" customFormat="false" ht="15" hidden="false" customHeight="false" outlineLevel="0" collapsed="false">
      <c r="B19" s="3" t="s">
        <v>26</v>
      </c>
    </row>
    <row r="20" customFormat="false" ht="15" hidden="false" customHeight="true" outlineLevel="0" collapsed="false">
      <c r="B20" s="4" t="s">
        <v>27</v>
      </c>
      <c r="C20" s="5" t="s">
        <v>28</v>
      </c>
    </row>
    <row r="21" customFormat="false" ht="15" hidden="false" customHeight="true" outlineLevel="0" collapsed="false">
      <c r="B21" s="4" t="s">
        <v>29</v>
      </c>
      <c r="C21" s="5" t="s">
        <v>30</v>
      </c>
    </row>
    <row r="22" customFormat="false" ht="30" hidden="false" customHeight="true" outlineLevel="0" collapsed="false">
      <c r="B22" s="4" t="s">
        <v>31</v>
      </c>
      <c r="C22" s="5" t="s">
        <v>32</v>
      </c>
    </row>
    <row r="23" customFormat="false" ht="30" hidden="false" customHeight="true" outlineLevel="0" collapsed="false">
      <c r="B23" s="4" t="s">
        <v>33</v>
      </c>
      <c r="C23" s="5" t="s">
        <v>34</v>
      </c>
    </row>
    <row r="24" customFormat="false" ht="30" hidden="false" customHeight="true" outlineLevel="0" collapsed="false">
      <c r="B24" s="4" t="s">
        <v>35</v>
      </c>
      <c r="C24" s="5" t="s">
        <v>36</v>
      </c>
    </row>
    <row r="25" customFormat="false" ht="15" hidden="false" customHeight="false" outlineLevel="0" collapsed="false">
      <c r="B25" s="3" t="s">
        <v>37</v>
      </c>
    </row>
    <row r="26" customFormat="false" ht="30" hidden="false" customHeight="true" outlineLevel="0" collapsed="false">
      <c r="B26" s="4" t="s">
        <v>38</v>
      </c>
      <c r="C26" s="5" t="s">
        <v>39</v>
      </c>
    </row>
    <row r="27" customFormat="false" ht="30" hidden="false" customHeight="true" outlineLevel="0" collapsed="false">
      <c r="B27" s="4" t="s">
        <v>40</v>
      </c>
      <c r="C27" s="5" t="s">
        <v>41</v>
      </c>
    </row>
    <row r="28" customFormat="false" ht="30" hidden="false" customHeight="true" outlineLevel="0" collapsed="false">
      <c r="B28" s="4" t="s">
        <v>42</v>
      </c>
      <c r="C28" s="5" t="s">
        <v>43</v>
      </c>
    </row>
    <row r="29" customFormat="false" ht="45" hidden="false" customHeight="true" outlineLevel="0" collapsed="false">
      <c r="B29" s="4" t="s">
        <v>44</v>
      </c>
      <c r="C29" s="5" t="s">
        <v>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95FF4"/>
    <pageSetUpPr fitToPage="false"/>
  </sheetPr>
  <dimension ref="A1:T2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3" min="2" style="0" width="14"/>
    <col collapsed="false" customWidth="true" hidden="false" outlineLevel="0" max="4" min="4" style="0" width="11"/>
    <col collapsed="false" customWidth="true" hidden="false" outlineLevel="0" max="5" min="5" style="0" width="24"/>
    <col collapsed="false" customWidth="true" hidden="false" outlineLevel="0" max="6" min="6" style="0" width="10"/>
    <col collapsed="false" customWidth="true" hidden="false" outlineLevel="0" max="8" min="7" style="0" width="11"/>
    <col collapsed="false" customWidth="true" hidden="false" outlineLevel="0" max="9" min="9" style="0" width="12"/>
    <col collapsed="false" customWidth="true" hidden="false" outlineLevel="0" max="10" min="10" style="0" width="13"/>
    <col collapsed="false" customWidth="true" hidden="false" outlineLevel="0" max="12" min="11" style="0" width="12"/>
    <col collapsed="false" customWidth="true" hidden="false" outlineLevel="0" max="13" min="13" style="0" width="10"/>
    <col collapsed="false" customWidth="true" hidden="false" outlineLevel="0" max="14" min="14" style="0" width="13"/>
    <col collapsed="false" customWidth="true" hidden="false" outlineLevel="0" max="15" min="15" style="0" width="9"/>
    <col collapsed="false" customWidth="true" hidden="false" outlineLevel="0" max="16" min="16" style="0" width="46"/>
    <col collapsed="false" customWidth="true" hidden="false" outlineLevel="0" max="17" min="17" style="0" width="3"/>
    <col collapsed="false" customWidth="true" hidden="false" outlineLevel="0" max="18" min="18" style="0" width="16"/>
    <col collapsed="false" customWidth="true" hidden="false" outlineLevel="0" max="19" min="19" style="0" width="9"/>
    <col collapsed="false" customWidth="true" hidden="false" outlineLevel="0" max="20" min="20" style="0" width="13"/>
  </cols>
  <sheetData>
    <row r="1" customFormat="false" ht="19.7" hidden="false" customHeight="false" outlineLevel="0" collapsed="false">
      <c r="A1" s="1" t="s">
        <v>46</v>
      </c>
    </row>
    <row r="2" customFormat="false" ht="15" hidden="false" customHeight="false" outlineLevel="0" collapsed="false">
      <c r="A2" s="2" t="s">
        <v>47</v>
      </c>
    </row>
    <row r="4" customFormat="false" ht="45" hidden="false" customHeight="true" outlineLevel="0" collapsed="false">
      <c r="A4" s="10" t="s">
        <v>48</v>
      </c>
      <c r="B4" s="10" t="s">
        <v>49</v>
      </c>
      <c r="C4" s="10" t="s">
        <v>50</v>
      </c>
      <c r="D4" s="10" t="s">
        <v>51</v>
      </c>
      <c r="E4" s="10" t="s">
        <v>52</v>
      </c>
      <c r="F4" s="11" t="s">
        <v>53</v>
      </c>
      <c r="G4" s="11" t="s">
        <v>54</v>
      </c>
      <c r="H4" s="11" t="s">
        <v>55</v>
      </c>
      <c r="I4" s="11" t="s">
        <v>56</v>
      </c>
      <c r="J4" s="11" t="s">
        <v>57</v>
      </c>
      <c r="K4" s="11" t="s">
        <v>58</v>
      </c>
      <c r="L4" s="11" t="s">
        <v>59</v>
      </c>
      <c r="M4" s="11" t="s">
        <v>60</v>
      </c>
      <c r="N4" s="11" t="s">
        <v>61</v>
      </c>
      <c r="O4" s="11" t="s">
        <v>62</v>
      </c>
      <c r="P4" s="11" t="s">
        <v>63</v>
      </c>
      <c r="R4" s="12" t="s">
        <v>64</v>
      </c>
      <c r="S4" s="12" t="s">
        <v>65</v>
      </c>
      <c r="T4" s="12" t="s">
        <v>66</v>
      </c>
    </row>
    <row r="5" customFormat="false" ht="15" hidden="false" customHeight="false" outlineLevel="0" collapsed="false">
      <c r="A5" s="13" t="s">
        <v>67</v>
      </c>
      <c r="B5" s="14" t="n">
        <v>1200</v>
      </c>
      <c r="C5" s="15" t="n">
        <v>28000000</v>
      </c>
      <c r="D5" s="14" t="n">
        <v>95</v>
      </c>
      <c r="E5" s="13" t="s">
        <v>68</v>
      </c>
      <c r="F5" s="16" t="n">
        <f aca="false">IF(OR($B5="",$C5=""),"",IF($D5="",Assumptions!$C$13,$D5))</f>
        <v>95</v>
      </c>
      <c r="G5" s="17" t="n">
        <f aca="false">IF(OR($B5="",$C5=""),"",$B5*1000000/12/$C5)</f>
        <v>3.57142857142857</v>
      </c>
      <c r="H5" s="18" t="n">
        <f aca="false">IF(OR($B5="",$C5=""),"",$G5/$F5)</f>
        <v>0.037593984962406</v>
      </c>
      <c r="I5" s="19" t="n">
        <f aca="false">IF(OR($B5="",$C5=""),"",$C5*$H5)</f>
        <v>1052631.57894737</v>
      </c>
      <c r="J5" s="19" t="n">
        <f aca="false">IF(OR($B5="",$C5=""),"",Assumptions!$C$24*($H5*(1-$H5)+$H5*(1+Assumptions!$C$9)*(1-$H5*(1+Assumptions!$C$9)))/($H5*Assumptions!$C$9)^2)</f>
        <v>164598.856909035</v>
      </c>
      <c r="K5" s="19" t="n">
        <f aca="false">IF(OR($B5="",$C5=""),"",$C5/Assumptions!$C$14*Assumptions!$C$11)</f>
        <v>3230769.23076923</v>
      </c>
      <c r="L5" s="20" t="n">
        <f aca="false">IF(OR($B5="",$C5=""),"",$J5*Assumptions!$C$10/$K5)</f>
        <v>0.101894530467498</v>
      </c>
      <c r="M5" s="21" t="n">
        <f aca="false">IF(OR($B5="",$C5=""),"",MIN(Assumptions!$C$20,52/MAX($L5,Assumptions!$C$12)))</f>
        <v>26</v>
      </c>
      <c r="N5" s="22" t="n">
        <f aca="false">IF(OR($B5="",$C5=""),"",SQRT(Assumptions!$C$24)*SQRT(2*$H5*(1-$H5)/($K5*4/Assumptions!$C$10))/$H5)</f>
        <v>0.00788625563815115</v>
      </c>
      <c r="O5" s="23" t="str">
        <f aca="false">IF(OR($B5="",$C5=""),"",IF(AND($L5&lt;=Assumptions!$C$16,$B5&gt;=Assumptions!$C$17),"Tier 1",IF(AND($L5&lt;=Assumptions!$C$18,$B5&gt;=Assumptions!$C$19),"Tier 2","Tier 3")))</f>
        <v>Tier 1</v>
      </c>
      <c r="P5" s="24" t="str">
        <f aca="false">IF(OR($B5="",$C5=""),"",IF($O5="Tier 1","Pursue — offer trial; plan 2-week tests",IF($O5="Tier 2","Qualify — trial only on top-traffic pages, bold tests (≥10% lift)","Don't trial A/B — nurture or sell non-testing services")))</f>
        <v>Pursue — offer trial; plan 2-week tests</v>
      </c>
      <c r="R5" s="25" t="s">
        <v>69</v>
      </c>
      <c r="S5" s="26" t="n">
        <f aca="false">COUNTIF($O$5:$O$204,R5)</f>
        <v>2</v>
      </c>
      <c r="T5" s="27" t="n">
        <f aca="false">SUMIFS($B$5:$B$204,$O$5:$O$204,R5)</f>
        <v>1550</v>
      </c>
    </row>
    <row r="6" customFormat="false" ht="15" hidden="false" customHeight="false" outlineLevel="0" collapsed="false">
      <c r="A6" s="13" t="s">
        <v>70</v>
      </c>
      <c r="B6" s="14" t="n">
        <v>350</v>
      </c>
      <c r="C6" s="15" t="n">
        <v>6500000</v>
      </c>
      <c r="D6" s="14" t="n">
        <v>110</v>
      </c>
      <c r="E6" s="13" t="s">
        <v>68</v>
      </c>
      <c r="F6" s="16" t="n">
        <f aca="false">IF(OR($B6="",$C6=""),"",IF($D6="",Assumptions!$C$13,$D6))</f>
        <v>110</v>
      </c>
      <c r="G6" s="17" t="n">
        <f aca="false">IF(OR($B6="",$C6=""),"",$B6*1000000/12/$C6)</f>
        <v>4.48717948717949</v>
      </c>
      <c r="H6" s="18" t="n">
        <f aca="false">IF(OR($B6="",$C6=""),"",$G6/$F6)</f>
        <v>0.0407925407925408</v>
      </c>
      <c r="I6" s="19" t="n">
        <f aca="false">IF(OR($B6="",$C6=""),"",$C6*$H6)</f>
        <v>265151.515151515</v>
      </c>
      <c r="J6" s="19" t="n">
        <f aca="false">IF(OR($B6="",$C6=""),"",Assumptions!$C$24*($H6*(1-$H6)+$H6*(1+Assumptions!$C$9)*(1-$H6*(1+Assumptions!$C$9)))/($H6*Assumptions!$C$9)^2)</f>
        <v>151175.030026231</v>
      </c>
      <c r="K6" s="19" t="n">
        <f aca="false">IF(OR($B6="",$C6=""),"",$C6/Assumptions!$C$14*Assumptions!$C$11)</f>
        <v>750000</v>
      </c>
      <c r="L6" s="20" t="n">
        <f aca="false">IF(OR($B6="",$C6=""),"",$J6*Assumptions!$C$10/$K6)</f>
        <v>0.403133413403282</v>
      </c>
      <c r="M6" s="21" t="n">
        <f aca="false">IF(OR($B6="",$C6=""),"",MIN(Assumptions!$C$20,52/MAX($L6,Assumptions!$C$12)))</f>
        <v>26</v>
      </c>
      <c r="N6" s="22" t="n">
        <f aca="false">IF(OR($B6="",$C6=""),"",SQRT(Assumptions!$C$24)*SQRT(2*$H6*(1-$H6)/($K6*4/Assumptions!$C$10))/$H6)</f>
        <v>0.0156869712653761</v>
      </c>
      <c r="O6" s="23" t="str">
        <f aca="false">IF(OR($B6="",$C6=""),"",IF(AND($L6&lt;=Assumptions!$C$16,$B6&gt;=Assumptions!$C$17),"Tier 1",IF(AND($L6&lt;=Assumptions!$C$18,$B6&gt;=Assumptions!$C$19),"Tier 2","Tier 3")))</f>
        <v>Tier 1</v>
      </c>
      <c r="P6" s="24" t="str">
        <f aca="false">IF(OR($B6="",$C6=""),"",IF($O6="Tier 1","Pursue — offer trial; plan 2-week tests",IF($O6="Tier 2","Qualify — trial only on top-traffic pages, bold tests (≥10% lift)","Don't trial A/B — nurture or sell non-testing services")))</f>
        <v>Pursue — offer trial; plan 2-week tests</v>
      </c>
      <c r="R6" s="28" t="s">
        <v>71</v>
      </c>
      <c r="S6" s="26" t="n">
        <f aca="false">COUNTIF($O$5:$O$204,R6)</f>
        <v>3</v>
      </c>
      <c r="T6" s="27" t="n">
        <f aca="false">SUMIFS($B$5:$B$204,$O$5:$O$204,R6)</f>
        <v>370</v>
      </c>
    </row>
    <row r="7" customFormat="false" ht="15" hidden="false" customHeight="false" outlineLevel="0" collapsed="false">
      <c r="A7" s="13" t="s">
        <v>72</v>
      </c>
      <c r="B7" s="14" t="n">
        <v>220</v>
      </c>
      <c r="C7" s="15" t="n">
        <v>2200000</v>
      </c>
      <c r="D7" s="14" t="n">
        <v>380</v>
      </c>
      <c r="E7" s="13" t="s">
        <v>73</v>
      </c>
      <c r="F7" s="16" t="n">
        <f aca="false">IF(OR($B7="",$C7=""),"",IF($D7="",Assumptions!$C$13,$D7))</f>
        <v>380</v>
      </c>
      <c r="G7" s="17" t="n">
        <f aca="false">IF(OR($B7="",$C7=""),"",$B7*1000000/12/$C7)</f>
        <v>8.33333333333333</v>
      </c>
      <c r="H7" s="18" t="n">
        <f aca="false">IF(OR($B7="",$C7=""),"",$G7/$F7)</f>
        <v>0.0219298245614035</v>
      </c>
      <c r="I7" s="19" t="n">
        <f aca="false">IF(OR($B7="",$C7=""),"",$C7*$H7)</f>
        <v>48245.6140350877</v>
      </c>
      <c r="J7" s="19" t="n">
        <f aca="false">IF(OR($B7="",$C7=""),"",Assumptions!$C$24*($H7*(1-$H7)+$H7*(1+Assumptions!$C$9)*(1-$H7*(1+Assumptions!$C$9)))/($H7*Assumptions!$C$9)^2)</f>
        <v>286884.403170194</v>
      </c>
      <c r="K7" s="19" t="n">
        <f aca="false">IF(OR($B7="",$C7=""),"",$C7/Assumptions!$C$14*Assumptions!$C$11)</f>
        <v>253846.153846154</v>
      </c>
      <c r="L7" s="20" t="n">
        <f aca="false">IF(OR($B7="",$C7=""),"",$J7*Assumptions!$C$10/$K7)</f>
        <v>2.26030135831062</v>
      </c>
      <c r="M7" s="21" t="n">
        <f aca="false">IF(OR($B7="",$C7=""),"",MIN(Assumptions!$C$20,52/MAX($L7,Assumptions!$C$12)))</f>
        <v>23.0057818656826</v>
      </c>
      <c r="N7" s="22" t="n">
        <f aca="false">IF(OR($B7="",$C7=""),"",SQRT(Assumptions!$C$24)*SQRT(2*$H7*(1-$H7)/($K7*4/Assumptions!$C$10))/$H7)</f>
        <v>0.037135217581712</v>
      </c>
      <c r="O7" s="23" t="str">
        <f aca="false">IF(OR($B7="",$C7=""),"",IF(AND($L7&lt;=Assumptions!$C$16,$B7&gt;=Assumptions!$C$17),"Tier 1",IF(AND($L7&lt;=Assumptions!$C$18,$B7&gt;=Assumptions!$C$19),"Tier 2","Tier 3")))</f>
        <v>Tier 2</v>
      </c>
      <c r="P7" s="24" t="str">
        <f aca="false">IF(OR($B7="",$C7=""),"",IF($O7="Tier 1","Pursue — offer trial; plan 2-week tests",IF($O7="Tier 2","Qualify — trial only on top-traffic pages, bold tests (≥10% lift)","Don't trial A/B — nurture or sell non-testing services")))</f>
        <v>Qualify — trial only on top-traffic pages, bold tests (≥10% lift)</v>
      </c>
      <c r="R7" s="29" t="s">
        <v>74</v>
      </c>
      <c r="S7" s="26" t="n">
        <f aca="false">COUNTIF($O$5:$O$204,R7)</f>
        <v>2</v>
      </c>
      <c r="T7" s="27" t="n">
        <f aca="false">SUMIFS($B$5:$B$204,$O$5:$O$204,R7)</f>
        <v>33</v>
      </c>
    </row>
    <row r="8" customFormat="false" ht="15" hidden="false" customHeight="false" outlineLevel="0" collapsed="false">
      <c r="A8" s="13" t="s">
        <v>75</v>
      </c>
      <c r="B8" s="14" t="n">
        <v>90</v>
      </c>
      <c r="C8" s="15" t="n">
        <v>2800000</v>
      </c>
      <c r="D8" s="14" t="n">
        <v>65</v>
      </c>
      <c r="E8" s="13" t="s">
        <v>76</v>
      </c>
      <c r="F8" s="16" t="n">
        <f aca="false">IF(OR($B8="",$C8=""),"",IF($D8="",Assumptions!$C$13,$D8))</f>
        <v>65</v>
      </c>
      <c r="G8" s="17" t="n">
        <f aca="false">IF(OR($B8="",$C8=""),"",$B8*1000000/12/$C8)</f>
        <v>2.67857142857143</v>
      </c>
      <c r="H8" s="18" t="n">
        <f aca="false">IF(OR($B8="",$C8=""),"",$G8/$F8)</f>
        <v>0.0412087912087912</v>
      </c>
      <c r="I8" s="19" t="n">
        <f aca="false">IF(OR($B8="",$C8=""),"",$C8*$H8)</f>
        <v>115384.615384615</v>
      </c>
      <c r="J8" s="19" t="n">
        <f aca="false">IF(OR($B8="",$C8=""),"",Assumptions!$C$24*($H8*(1-$H8)+$H8*(1+Assumptions!$C$9)*(1-$H8*(1+Assumptions!$C$9)))/($H8*Assumptions!$C$9)^2)</f>
        <v>149581.33368398</v>
      </c>
      <c r="K8" s="19" t="n">
        <f aca="false">IF(OR($B8="",$C8=""),"",$C8/Assumptions!$C$14*Assumptions!$C$11)</f>
        <v>323076.923076923</v>
      </c>
      <c r="L8" s="20" t="n">
        <f aca="false">IF(OR($B8="",$C8=""),"",$J8*Assumptions!$C$10/$K8)</f>
        <v>0.925979684710353</v>
      </c>
      <c r="M8" s="21" t="n">
        <f aca="false">IF(OR($B8="",$C8=""),"",MIN(Assumptions!$C$20,52/MAX($L8,Assumptions!$C$12)))</f>
        <v>26</v>
      </c>
      <c r="N8" s="22" t="n">
        <f aca="false">IF(OR($B8="",$C8=""),"",SQRT(Assumptions!$C$24)*SQRT(2*$H8*(1-$H8)/($K8*4/Assumptions!$C$10))/$H8)</f>
        <v>0.0237748591218906</v>
      </c>
      <c r="O8" s="23" t="str">
        <f aca="false">IF(OR($B8="",$C8=""),"",IF(AND($L8&lt;=Assumptions!$C$16,$B8&gt;=Assumptions!$C$17),"Tier 1",IF(AND($L8&lt;=Assumptions!$C$18,$B8&gt;=Assumptions!$C$19),"Tier 2","Tier 3")))</f>
        <v>Tier 2</v>
      </c>
      <c r="P8" s="24" t="str">
        <f aca="false">IF(OR($B8="",$C8=""),"",IF($O8="Tier 1","Pursue — offer trial; plan 2-week tests",IF($O8="Tier 2","Qualify — trial only on top-traffic pages, bold tests (≥10% lift)","Don't trial A/B — nurture or sell non-testing services")))</f>
        <v>Qualify — trial only on top-traffic pages, bold tests (≥10% lift)</v>
      </c>
      <c r="R8" s="30" t="s">
        <v>77</v>
      </c>
      <c r="S8" s="30" t="n">
        <f aca="false">SUM(S5:S7)</f>
        <v>7</v>
      </c>
      <c r="T8" s="31" t="n">
        <f aca="false">SUM(T5:T7)</f>
        <v>1953</v>
      </c>
    </row>
    <row r="9" customFormat="false" ht="15" hidden="false" customHeight="false" outlineLevel="0" collapsed="false">
      <c r="A9" s="13" t="s">
        <v>78</v>
      </c>
      <c r="B9" s="14" t="n">
        <v>60</v>
      </c>
      <c r="C9" s="15" t="n">
        <v>900000</v>
      </c>
      <c r="D9" s="14" t="n">
        <v>140</v>
      </c>
      <c r="E9" s="13" t="s">
        <v>76</v>
      </c>
      <c r="F9" s="16" t="n">
        <f aca="false">IF(OR($B9="",$C9=""),"",IF($D9="",Assumptions!$C$13,$D9))</f>
        <v>140</v>
      </c>
      <c r="G9" s="17" t="n">
        <f aca="false">IF(OR($B9="",$C9=""),"",$B9*1000000/12/$C9)</f>
        <v>5.55555555555556</v>
      </c>
      <c r="H9" s="18" t="n">
        <f aca="false">IF(OR($B9="",$C9=""),"",$G9/$F9)</f>
        <v>0.0396825396825397</v>
      </c>
      <c r="I9" s="19" t="n">
        <f aca="false">IF(OR($B9="",$C9=""),"",$C9*$H9)</f>
        <v>35714.2857142857</v>
      </c>
      <c r="J9" s="19" t="n">
        <f aca="false">IF(OR($B9="",$C9=""),"",Assumptions!$C$24*($H9*(1-$H9)+$H9*(1+Assumptions!$C$9)*(1-$H9*(1+Assumptions!$C$9)))/($H9*Assumptions!$C$9)^2)</f>
        <v>155588.342974002</v>
      </c>
      <c r="K9" s="19" t="n">
        <f aca="false">IF(OR($B9="",$C9=""),"",$C9/Assumptions!$C$14*Assumptions!$C$11)</f>
        <v>103846.153846154</v>
      </c>
      <c r="L9" s="20" t="n">
        <f aca="false">IF(OR($B9="",$C9=""),"",$J9*Assumptions!$C$10/$K9)</f>
        <v>2.99651623505485</v>
      </c>
      <c r="M9" s="21" t="n">
        <f aca="false">IF(OR($B9="",$C9=""),"",MIN(Assumptions!$C$20,52/MAX($L9,Assumptions!$C$12)))</f>
        <v>17.353485154419</v>
      </c>
      <c r="N9" s="22" t="n">
        <f aca="false">IF(OR($B9="",$C9=""),"",SQRT(Assumptions!$C$24)*SQRT(2*$H9*(1-$H9)/($K9*4/Assumptions!$C$10))/$H9)</f>
        <v>0.0427677410831196</v>
      </c>
      <c r="O9" s="23" t="str">
        <f aca="false">IF(OR($B9="",$C9=""),"",IF(AND($L9&lt;=Assumptions!$C$16,$B9&gt;=Assumptions!$C$17),"Tier 1",IF(AND($L9&lt;=Assumptions!$C$18,$B9&gt;=Assumptions!$C$19),"Tier 2","Tier 3")))</f>
        <v>Tier 2</v>
      </c>
      <c r="P9" s="24" t="str">
        <f aca="false">IF(OR($B9="",$C9=""),"",IF($O9="Tier 1","Pursue — offer trial; plan 2-week tests",IF($O9="Tier 2","Qualify — trial only on top-traffic pages, bold tests (≥10% lift)","Don't trial A/B — nurture or sell non-testing services")))</f>
        <v>Qualify — trial only on top-traffic pages, bold tests (≥10% lift)</v>
      </c>
    </row>
    <row r="10" customFormat="false" ht="15" hidden="false" customHeight="false" outlineLevel="0" collapsed="false">
      <c r="A10" s="13" t="s">
        <v>79</v>
      </c>
      <c r="B10" s="14" t="n">
        <v>25</v>
      </c>
      <c r="C10" s="15" t="n">
        <v>250000</v>
      </c>
      <c r="D10" s="14" t="n">
        <v>450</v>
      </c>
      <c r="E10" s="13" t="s">
        <v>80</v>
      </c>
      <c r="F10" s="16" t="n">
        <f aca="false">IF(OR($B10="",$C10=""),"",IF($D10="",Assumptions!$C$13,$D10))</f>
        <v>450</v>
      </c>
      <c r="G10" s="17" t="n">
        <f aca="false">IF(OR($B10="",$C10=""),"",$B10*1000000/12/$C10)</f>
        <v>8.33333333333333</v>
      </c>
      <c r="H10" s="18" t="n">
        <f aca="false">IF(OR($B10="",$C10=""),"",$G10/$F10)</f>
        <v>0.0185185185185185</v>
      </c>
      <c r="I10" s="19" t="n">
        <f aca="false">IF(OR($B10="",$C10=""),"",$C10*$H10)</f>
        <v>4629.62962962963</v>
      </c>
      <c r="J10" s="19" t="n">
        <f aca="false">IF(OR($B10="",$C10=""),"",Assumptions!$C$24*($H10*(1-$H10)+$H10*(1+Assumptions!$C$9)*(1-$H10*(1+Assumptions!$C$9)))/($H10*Assumptions!$C$9)^2)</f>
        <v>340947.48678039</v>
      </c>
      <c r="K10" s="19" t="n">
        <f aca="false">IF(OR($B10="",$C10=""),"",$C10/Assumptions!$C$14*Assumptions!$C$11)</f>
        <v>28846.1538461538</v>
      </c>
      <c r="L10" s="20" t="n">
        <f aca="false">IF(OR($B10="",$C10=""),"",$J10*Assumptions!$C$10/$K10)</f>
        <v>23.639025750107</v>
      </c>
      <c r="M10" s="21" t="n">
        <f aca="false">IF(OR($B10="",$C10=""),"",MIN(Assumptions!$C$20,52/MAX($L10,Assumptions!$C$12)))</f>
        <v>2.19975224654783</v>
      </c>
      <c r="N10" s="22" t="n">
        <f aca="false">IF(OR($B10="",$C10=""),"",SQRT(Assumptions!$C$24)*SQRT(2*$H10*(1-$H10)/($K10*4/Assumptions!$C$10))/$H10)</f>
        <v>0.120087502951989</v>
      </c>
      <c r="O10" s="23" t="str">
        <f aca="false">IF(OR($B10="",$C10=""),"",IF(AND($L10&lt;=Assumptions!$C$16,$B10&gt;=Assumptions!$C$17),"Tier 1",IF(AND($L10&lt;=Assumptions!$C$18,$B10&gt;=Assumptions!$C$19),"Tier 2","Tier 3")))</f>
        <v>Tier 3</v>
      </c>
      <c r="P10" s="24" t="str">
        <f aca="false">IF(OR($B10="",$C10=""),"",IF($O10="Tier 1","Pursue — offer trial; plan 2-week tests",IF($O10="Tier 2","Qualify — trial only on top-traffic pages, bold tests (≥10% lift)","Don't trial A/B — nurture or sell non-testing services")))</f>
        <v>Don't trial A/B — nurture or sell non-testing services</v>
      </c>
    </row>
    <row r="11" customFormat="false" ht="15" hidden="false" customHeight="false" outlineLevel="0" collapsed="false">
      <c r="A11" s="13" t="s">
        <v>81</v>
      </c>
      <c r="B11" s="14" t="n">
        <v>8</v>
      </c>
      <c r="C11" s="15" t="n">
        <v>300000</v>
      </c>
      <c r="D11" s="14"/>
      <c r="E11" s="13" t="s">
        <v>76</v>
      </c>
      <c r="F11" s="16" t="n">
        <f aca="false">IF(OR($B11="",$C11=""),"",IF($D11="",Assumptions!$C$13,$D11))</f>
        <v>120</v>
      </c>
      <c r="G11" s="17" t="n">
        <f aca="false">IF(OR($B11="",$C11=""),"",$B11*1000000/12/$C11)</f>
        <v>2.22222222222222</v>
      </c>
      <c r="H11" s="18" t="n">
        <f aca="false">IF(OR($B11="",$C11=""),"",$G11/$F11)</f>
        <v>0.0185185185185185</v>
      </c>
      <c r="I11" s="19" t="n">
        <f aca="false">IF(OR($B11="",$C11=""),"",$C11*$H11)</f>
        <v>5555.55555555555</v>
      </c>
      <c r="J11" s="19" t="n">
        <f aca="false">IF(OR($B11="",$C11=""),"",Assumptions!$C$24*($H11*(1-$H11)+$H11*(1+Assumptions!$C$9)*(1-$H11*(1+Assumptions!$C$9)))/($H11*Assumptions!$C$9)^2)</f>
        <v>340947.48678039</v>
      </c>
      <c r="K11" s="19" t="n">
        <f aca="false">IF(OR($B11="",$C11=""),"",$C11/Assumptions!$C$14*Assumptions!$C$11)</f>
        <v>34615.3846153846</v>
      </c>
      <c r="L11" s="20" t="n">
        <f aca="false">IF(OR($B11="",$C11=""),"",$J11*Assumptions!$C$10/$K11)</f>
        <v>19.6991881250892</v>
      </c>
      <c r="M11" s="21" t="n">
        <f aca="false">IF(OR($B11="",$C11=""),"",MIN(Assumptions!$C$20,52/MAX($L11,Assumptions!$C$12)))</f>
        <v>2.6397026958574</v>
      </c>
      <c r="N11" s="22" t="n">
        <f aca="false">IF(OR($B11="",$C11=""),"",SQRT(Assumptions!$C$24)*SQRT(2*$H11*(1-$H11)/($K11*4/Assumptions!$C$10))/$H11)</f>
        <v>0.109624390402121</v>
      </c>
      <c r="O11" s="23" t="str">
        <f aca="false">IF(OR($B11="",$C11=""),"",IF(AND($L11&lt;=Assumptions!$C$16,$B11&gt;=Assumptions!$C$17),"Tier 1",IF(AND($L11&lt;=Assumptions!$C$18,$B11&gt;=Assumptions!$C$19),"Tier 2","Tier 3")))</f>
        <v>Tier 3</v>
      </c>
      <c r="P11" s="24" t="str">
        <f aca="false">IF(OR($B11="",$C11=""),"",IF($O11="Tier 1","Pursue — offer trial; plan 2-week tests",IF($O11="Tier 2","Qualify — trial only on top-traffic pages, bold tests (≥10% lift)","Don't trial A/B — nurture or sell non-testing services")))</f>
        <v>Don't trial A/B — nurture or sell non-testing services</v>
      </c>
    </row>
    <row r="12" customFormat="false" ht="15" hidden="false" customHeight="false" outlineLevel="0" collapsed="false">
      <c r="A12" s="13"/>
      <c r="B12" s="14"/>
      <c r="C12" s="15"/>
      <c r="D12" s="14"/>
      <c r="E12" s="13"/>
      <c r="F12" s="16" t="str">
        <f aca="false">IF(OR($B12="",$C12=""),"",IF($D12="",Assumptions!$C$13,$D12))</f>
        <v/>
      </c>
      <c r="G12" s="17" t="str">
        <f aca="false">IF(OR($B12="",$C12=""),"",$B12*1000000/12/$C12)</f>
        <v/>
      </c>
      <c r="H12" s="18" t="str">
        <f aca="false">IF(OR($B12="",$C12=""),"",$G12/$F12)</f>
        <v/>
      </c>
      <c r="I12" s="19" t="str">
        <f aca="false">IF(OR($B12="",$C12=""),"",$C12*$H12)</f>
        <v/>
      </c>
      <c r="J12" s="19" t="str">
        <f aca="false">IF(OR($B12="",$C12=""),"",Assumptions!$C$24*($H12*(1-$H12)+$H12*(1+Assumptions!$C$9)*(1-$H12*(1+Assumptions!$C$9)))/($H12*Assumptions!$C$9)^2)</f>
        <v/>
      </c>
      <c r="K12" s="19" t="str">
        <f aca="false">IF(OR($B12="",$C12=""),"",$C12/Assumptions!$C$14*Assumptions!$C$11)</f>
        <v/>
      </c>
      <c r="L12" s="20" t="str">
        <f aca="false">IF(OR($B12="",$C12=""),"",$J12*Assumptions!$C$10/$K12)</f>
        <v/>
      </c>
      <c r="M12" s="21" t="str">
        <f aca="false">IF(OR($B12="",$C12=""),"",MIN(Assumptions!$C$20,52/MAX($L12,Assumptions!$C$12)))</f>
        <v/>
      </c>
      <c r="N12" s="22" t="str">
        <f aca="false">IF(OR($B12="",$C12=""),"",SQRT(Assumptions!$C$24)*SQRT(2*$H12*(1-$H12)/($K12*4/Assumptions!$C$10))/$H12)</f>
        <v/>
      </c>
      <c r="O12" s="23" t="str">
        <f aca="false">IF(OR($B12="",$C12=""),"",IF(AND($L12&lt;=Assumptions!$C$16,$B12&gt;=Assumptions!$C$17),"Tier 1",IF(AND($L12&lt;=Assumptions!$C$18,$B12&gt;=Assumptions!$C$19),"Tier 2","Tier 3")))</f>
        <v/>
      </c>
      <c r="P12" s="24" t="str">
        <f aca="false">IF(OR($B12="",$C12=""),"",IF($O12="Tier 1","Pursue — offer trial; plan 2-week tests",IF($O12="Tier 2","Qualify — trial only on top-traffic pages, bold tests (≥10% lift)","Don't trial A/B — nurture or sell non-testing services")))</f>
        <v/>
      </c>
    </row>
    <row r="13" customFormat="false" ht="15" hidden="false" customHeight="false" outlineLevel="0" collapsed="false">
      <c r="A13" s="13"/>
      <c r="B13" s="14"/>
      <c r="C13" s="15"/>
      <c r="D13" s="14"/>
      <c r="E13" s="13"/>
      <c r="F13" s="16" t="str">
        <f aca="false">IF(OR($B13="",$C13=""),"",IF($D13="",Assumptions!$C$13,$D13))</f>
        <v/>
      </c>
      <c r="G13" s="17" t="str">
        <f aca="false">IF(OR($B13="",$C13=""),"",$B13*1000000/12/$C13)</f>
        <v/>
      </c>
      <c r="H13" s="18" t="str">
        <f aca="false">IF(OR($B13="",$C13=""),"",$G13/$F13)</f>
        <v/>
      </c>
      <c r="I13" s="19" t="str">
        <f aca="false">IF(OR($B13="",$C13=""),"",$C13*$H13)</f>
        <v/>
      </c>
      <c r="J13" s="19" t="str">
        <f aca="false">IF(OR($B13="",$C13=""),"",Assumptions!$C$24*($H13*(1-$H13)+$H13*(1+Assumptions!$C$9)*(1-$H13*(1+Assumptions!$C$9)))/($H13*Assumptions!$C$9)^2)</f>
        <v/>
      </c>
      <c r="K13" s="19" t="str">
        <f aca="false">IF(OR($B13="",$C13=""),"",$C13/Assumptions!$C$14*Assumptions!$C$11)</f>
        <v/>
      </c>
      <c r="L13" s="20" t="str">
        <f aca="false">IF(OR($B13="",$C13=""),"",$J13*Assumptions!$C$10/$K13)</f>
        <v/>
      </c>
      <c r="M13" s="21" t="str">
        <f aca="false">IF(OR($B13="",$C13=""),"",MIN(Assumptions!$C$20,52/MAX($L13,Assumptions!$C$12)))</f>
        <v/>
      </c>
      <c r="N13" s="22" t="str">
        <f aca="false">IF(OR($B13="",$C13=""),"",SQRT(Assumptions!$C$24)*SQRT(2*$H13*(1-$H13)/($K13*4/Assumptions!$C$10))/$H13)</f>
        <v/>
      </c>
      <c r="O13" s="23" t="str">
        <f aca="false">IF(OR($B13="",$C13=""),"",IF(AND($L13&lt;=Assumptions!$C$16,$B13&gt;=Assumptions!$C$17),"Tier 1",IF(AND($L13&lt;=Assumptions!$C$18,$B13&gt;=Assumptions!$C$19),"Tier 2","Tier 3")))</f>
        <v/>
      </c>
      <c r="P13" s="24" t="str">
        <f aca="false">IF(OR($B13="",$C13=""),"",IF($O13="Tier 1","Pursue — offer trial; plan 2-week tests",IF($O13="Tier 2","Qualify — trial only on top-traffic pages, bold tests (≥10% lift)","Don't trial A/B — nurture or sell non-testing services")))</f>
        <v/>
      </c>
    </row>
    <row r="14" customFormat="false" ht="15" hidden="false" customHeight="false" outlineLevel="0" collapsed="false">
      <c r="A14" s="13"/>
      <c r="B14" s="14"/>
      <c r="C14" s="15"/>
      <c r="D14" s="14"/>
      <c r="E14" s="13"/>
      <c r="F14" s="16" t="str">
        <f aca="false">IF(OR($B14="",$C14=""),"",IF($D14="",Assumptions!$C$13,$D14))</f>
        <v/>
      </c>
      <c r="G14" s="17" t="str">
        <f aca="false">IF(OR($B14="",$C14=""),"",$B14*1000000/12/$C14)</f>
        <v/>
      </c>
      <c r="H14" s="18" t="str">
        <f aca="false">IF(OR($B14="",$C14=""),"",$G14/$F14)</f>
        <v/>
      </c>
      <c r="I14" s="19" t="str">
        <f aca="false">IF(OR($B14="",$C14=""),"",$C14*$H14)</f>
        <v/>
      </c>
      <c r="J14" s="19" t="str">
        <f aca="false">IF(OR($B14="",$C14=""),"",Assumptions!$C$24*($H14*(1-$H14)+$H14*(1+Assumptions!$C$9)*(1-$H14*(1+Assumptions!$C$9)))/($H14*Assumptions!$C$9)^2)</f>
        <v/>
      </c>
      <c r="K14" s="19" t="str">
        <f aca="false">IF(OR($B14="",$C14=""),"",$C14/Assumptions!$C$14*Assumptions!$C$11)</f>
        <v/>
      </c>
      <c r="L14" s="20" t="str">
        <f aca="false">IF(OR($B14="",$C14=""),"",$J14*Assumptions!$C$10/$K14)</f>
        <v/>
      </c>
      <c r="M14" s="21" t="str">
        <f aca="false">IF(OR($B14="",$C14=""),"",MIN(Assumptions!$C$20,52/MAX($L14,Assumptions!$C$12)))</f>
        <v/>
      </c>
      <c r="N14" s="22" t="str">
        <f aca="false">IF(OR($B14="",$C14=""),"",SQRT(Assumptions!$C$24)*SQRT(2*$H14*(1-$H14)/($K14*4/Assumptions!$C$10))/$H14)</f>
        <v/>
      </c>
      <c r="O14" s="23" t="str">
        <f aca="false">IF(OR($B14="",$C14=""),"",IF(AND($L14&lt;=Assumptions!$C$16,$B14&gt;=Assumptions!$C$17),"Tier 1",IF(AND($L14&lt;=Assumptions!$C$18,$B14&gt;=Assumptions!$C$19),"Tier 2","Tier 3")))</f>
        <v/>
      </c>
      <c r="P14" s="24" t="str">
        <f aca="false">IF(OR($B14="",$C14=""),"",IF($O14="Tier 1","Pursue — offer trial; plan 2-week tests",IF($O14="Tier 2","Qualify — trial only on top-traffic pages, bold tests (≥10% lift)","Don't trial A/B — nurture or sell non-testing services")))</f>
        <v/>
      </c>
    </row>
    <row r="15" customFormat="false" ht="15" hidden="false" customHeight="false" outlineLevel="0" collapsed="false">
      <c r="A15" s="13"/>
      <c r="B15" s="14"/>
      <c r="C15" s="15"/>
      <c r="D15" s="14"/>
      <c r="E15" s="13"/>
      <c r="F15" s="16" t="str">
        <f aca="false">IF(OR($B15="",$C15=""),"",IF($D15="",Assumptions!$C$13,$D15))</f>
        <v/>
      </c>
      <c r="G15" s="17" t="str">
        <f aca="false">IF(OR($B15="",$C15=""),"",$B15*1000000/12/$C15)</f>
        <v/>
      </c>
      <c r="H15" s="18" t="str">
        <f aca="false">IF(OR($B15="",$C15=""),"",$G15/$F15)</f>
        <v/>
      </c>
      <c r="I15" s="19" t="str">
        <f aca="false">IF(OR($B15="",$C15=""),"",$C15*$H15)</f>
        <v/>
      </c>
      <c r="J15" s="19" t="str">
        <f aca="false">IF(OR($B15="",$C15=""),"",Assumptions!$C$24*($H15*(1-$H15)+$H15*(1+Assumptions!$C$9)*(1-$H15*(1+Assumptions!$C$9)))/($H15*Assumptions!$C$9)^2)</f>
        <v/>
      </c>
      <c r="K15" s="19" t="str">
        <f aca="false">IF(OR($B15="",$C15=""),"",$C15/Assumptions!$C$14*Assumptions!$C$11)</f>
        <v/>
      </c>
      <c r="L15" s="20" t="str">
        <f aca="false">IF(OR($B15="",$C15=""),"",$J15*Assumptions!$C$10/$K15)</f>
        <v/>
      </c>
      <c r="M15" s="21" t="str">
        <f aca="false">IF(OR($B15="",$C15=""),"",MIN(Assumptions!$C$20,52/MAX($L15,Assumptions!$C$12)))</f>
        <v/>
      </c>
      <c r="N15" s="22" t="str">
        <f aca="false">IF(OR($B15="",$C15=""),"",SQRT(Assumptions!$C$24)*SQRT(2*$H15*(1-$H15)/($K15*4/Assumptions!$C$10))/$H15)</f>
        <v/>
      </c>
      <c r="O15" s="23" t="str">
        <f aca="false">IF(OR($B15="",$C15=""),"",IF(AND($L15&lt;=Assumptions!$C$16,$B15&gt;=Assumptions!$C$17),"Tier 1",IF(AND($L15&lt;=Assumptions!$C$18,$B15&gt;=Assumptions!$C$19),"Tier 2","Tier 3")))</f>
        <v/>
      </c>
      <c r="P15" s="24" t="str">
        <f aca="false">IF(OR($B15="",$C15=""),"",IF($O15="Tier 1","Pursue — offer trial; plan 2-week tests",IF($O15="Tier 2","Qualify — trial only on top-traffic pages, bold tests (≥10% lift)","Don't trial A/B — nurture or sell non-testing services")))</f>
        <v/>
      </c>
    </row>
    <row r="16" customFormat="false" ht="15" hidden="false" customHeight="false" outlineLevel="0" collapsed="false">
      <c r="A16" s="13"/>
      <c r="B16" s="14"/>
      <c r="C16" s="15"/>
      <c r="D16" s="14"/>
      <c r="E16" s="13"/>
      <c r="F16" s="16" t="str">
        <f aca="false">IF(OR($B16="",$C16=""),"",IF($D16="",Assumptions!$C$13,$D16))</f>
        <v/>
      </c>
      <c r="G16" s="17" t="str">
        <f aca="false">IF(OR($B16="",$C16=""),"",$B16*1000000/12/$C16)</f>
        <v/>
      </c>
      <c r="H16" s="18" t="str">
        <f aca="false">IF(OR($B16="",$C16=""),"",$G16/$F16)</f>
        <v/>
      </c>
      <c r="I16" s="19" t="str">
        <f aca="false">IF(OR($B16="",$C16=""),"",$C16*$H16)</f>
        <v/>
      </c>
      <c r="J16" s="19" t="str">
        <f aca="false">IF(OR($B16="",$C16=""),"",Assumptions!$C$24*($H16*(1-$H16)+$H16*(1+Assumptions!$C$9)*(1-$H16*(1+Assumptions!$C$9)))/($H16*Assumptions!$C$9)^2)</f>
        <v/>
      </c>
      <c r="K16" s="19" t="str">
        <f aca="false">IF(OR($B16="",$C16=""),"",$C16/Assumptions!$C$14*Assumptions!$C$11)</f>
        <v/>
      </c>
      <c r="L16" s="20" t="str">
        <f aca="false">IF(OR($B16="",$C16=""),"",$J16*Assumptions!$C$10/$K16)</f>
        <v/>
      </c>
      <c r="M16" s="21" t="str">
        <f aca="false">IF(OR($B16="",$C16=""),"",MIN(Assumptions!$C$20,52/MAX($L16,Assumptions!$C$12)))</f>
        <v/>
      </c>
      <c r="N16" s="22" t="str">
        <f aca="false">IF(OR($B16="",$C16=""),"",SQRT(Assumptions!$C$24)*SQRT(2*$H16*(1-$H16)/($K16*4/Assumptions!$C$10))/$H16)</f>
        <v/>
      </c>
      <c r="O16" s="23" t="str">
        <f aca="false">IF(OR($B16="",$C16=""),"",IF(AND($L16&lt;=Assumptions!$C$16,$B16&gt;=Assumptions!$C$17),"Tier 1",IF(AND($L16&lt;=Assumptions!$C$18,$B16&gt;=Assumptions!$C$19),"Tier 2","Tier 3")))</f>
        <v/>
      </c>
      <c r="P16" s="24" t="str">
        <f aca="false">IF(OR($B16="",$C16=""),"",IF($O16="Tier 1","Pursue — offer trial; plan 2-week tests",IF($O16="Tier 2","Qualify — trial only on top-traffic pages, bold tests (≥10% lift)","Don't trial A/B — nurture or sell non-testing services")))</f>
        <v/>
      </c>
    </row>
    <row r="17" customFormat="false" ht="15" hidden="false" customHeight="false" outlineLevel="0" collapsed="false">
      <c r="A17" s="13"/>
      <c r="B17" s="14"/>
      <c r="C17" s="15"/>
      <c r="D17" s="14"/>
      <c r="E17" s="13"/>
      <c r="F17" s="16" t="str">
        <f aca="false">IF(OR($B17="",$C17=""),"",IF($D17="",Assumptions!$C$13,$D17))</f>
        <v/>
      </c>
      <c r="G17" s="17" t="str">
        <f aca="false">IF(OR($B17="",$C17=""),"",$B17*1000000/12/$C17)</f>
        <v/>
      </c>
      <c r="H17" s="18" t="str">
        <f aca="false">IF(OR($B17="",$C17=""),"",$G17/$F17)</f>
        <v/>
      </c>
      <c r="I17" s="19" t="str">
        <f aca="false">IF(OR($B17="",$C17=""),"",$C17*$H17)</f>
        <v/>
      </c>
      <c r="J17" s="19" t="str">
        <f aca="false">IF(OR($B17="",$C17=""),"",Assumptions!$C$24*($H17*(1-$H17)+$H17*(1+Assumptions!$C$9)*(1-$H17*(1+Assumptions!$C$9)))/($H17*Assumptions!$C$9)^2)</f>
        <v/>
      </c>
      <c r="K17" s="19" t="str">
        <f aca="false">IF(OR($B17="",$C17=""),"",$C17/Assumptions!$C$14*Assumptions!$C$11)</f>
        <v/>
      </c>
      <c r="L17" s="20" t="str">
        <f aca="false">IF(OR($B17="",$C17=""),"",$J17*Assumptions!$C$10/$K17)</f>
        <v/>
      </c>
      <c r="M17" s="21" t="str">
        <f aca="false">IF(OR($B17="",$C17=""),"",MIN(Assumptions!$C$20,52/MAX($L17,Assumptions!$C$12)))</f>
        <v/>
      </c>
      <c r="N17" s="22" t="str">
        <f aca="false">IF(OR($B17="",$C17=""),"",SQRT(Assumptions!$C$24)*SQRT(2*$H17*(1-$H17)/($K17*4/Assumptions!$C$10))/$H17)</f>
        <v/>
      </c>
      <c r="O17" s="23" t="str">
        <f aca="false">IF(OR($B17="",$C17=""),"",IF(AND($L17&lt;=Assumptions!$C$16,$B17&gt;=Assumptions!$C$17),"Tier 1",IF(AND($L17&lt;=Assumptions!$C$18,$B17&gt;=Assumptions!$C$19),"Tier 2","Tier 3")))</f>
        <v/>
      </c>
      <c r="P17" s="24" t="str">
        <f aca="false">IF(OR($B17="",$C17=""),"",IF($O17="Tier 1","Pursue — offer trial; plan 2-week tests",IF($O17="Tier 2","Qualify — trial only on top-traffic pages, bold tests (≥10% lift)","Don't trial A/B — nurture or sell non-testing services")))</f>
        <v/>
      </c>
    </row>
    <row r="18" customFormat="false" ht="15" hidden="false" customHeight="false" outlineLevel="0" collapsed="false">
      <c r="A18" s="13"/>
      <c r="B18" s="14"/>
      <c r="C18" s="15"/>
      <c r="D18" s="14"/>
      <c r="E18" s="13"/>
      <c r="F18" s="16" t="str">
        <f aca="false">IF(OR($B18="",$C18=""),"",IF($D18="",Assumptions!$C$13,$D18))</f>
        <v/>
      </c>
      <c r="G18" s="17" t="str">
        <f aca="false">IF(OR($B18="",$C18=""),"",$B18*1000000/12/$C18)</f>
        <v/>
      </c>
      <c r="H18" s="18" t="str">
        <f aca="false">IF(OR($B18="",$C18=""),"",$G18/$F18)</f>
        <v/>
      </c>
      <c r="I18" s="19" t="str">
        <f aca="false">IF(OR($B18="",$C18=""),"",$C18*$H18)</f>
        <v/>
      </c>
      <c r="J18" s="19" t="str">
        <f aca="false">IF(OR($B18="",$C18=""),"",Assumptions!$C$24*($H18*(1-$H18)+$H18*(1+Assumptions!$C$9)*(1-$H18*(1+Assumptions!$C$9)))/($H18*Assumptions!$C$9)^2)</f>
        <v/>
      </c>
      <c r="K18" s="19" t="str">
        <f aca="false">IF(OR($B18="",$C18=""),"",$C18/Assumptions!$C$14*Assumptions!$C$11)</f>
        <v/>
      </c>
      <c r="L18" s="20" t="str">
        <f aca="false">IF(OR($B18="",$C18=""),"",$J18*Assumptions!$C$10/$K18)</f>
        <v/>
      </c>
      <c r="M18" s="21" t="str">
        <f aca="false">IF(OR($B18="",$C18=""),"",MIN(Assumptions!$C$20,52/MAX($L18,Assumptions!$C$12)))</f>
        <v/>
      </c>
      <c r="N18" s="22" t="str">
        <f aca="false">IF(OR($B18="",$C18=""),"",SQRT(Assumptions!$C$24)*SQRT(2*$H18*(1-$H18)/($K18*4/Assumptions!$C$10))/$H18)</f>
        <v/>
      </c>
      <c r="O18" s="23" t="str">
        <f aca="false">IF(OR($B18="",$C18=""),"",IF(AND($L18&lt;=Assumptions!$C$16,$B18&gt;=Assumptions!$C$17),"Tier 1",IF(AND($L18&lt;=Assumptions!$C$18,$B18&gt;=Assumptions!$C$19),"Tier 2","Tier 3")))</f>
        <v/>
      </c>
      <c r="P18" s="24" t="str">
        <f aca="false">IF(OR($B18="",$C18=""),"",IF($O18="Tier 1","Pursue — offer trial; plan 2-week tests",IF($O18="Tier 2","Qualify — trial only on top-traffic pages, bold tests (≥10% lift)","Don't trial A/B — nurture or sell non-testing services")))</f>
        <v/>
      </c>
    </row>
    <row r="19" customFormat="false" ht="15" hidden="false" customHeight="false" outlineLevel="0" collapsed="false">
      <c r="A19" s="13"/>
      <c r="B19" s="14"/>
      <c r="C19" s="15"/>
      <c r="D19" s="14"/>
      <c r="E19" s="13"/>
      <c r="F19" s="16" t="str">
        <f aca="false">IF(OR($B19="",$C19=""),"",IF($D19="",Assumptions!$C$13,$D19))</f>
        <v/>
      </c>
      <c r="G19" s="17" t="str">
        <f aca="false">IF(OR($B19="",$C19=""),"",$B19*1000000/12/$C19)</f>
        <v/>
      </c>
      <c r="H19" s="18" t="str">
        <f aca="false">IF(OR($B19="",$C19=""),"",$G19/$F19)</f>
        <v/>
      </c>
      <c r="I19" s="19" t="str">
        <f aca="false">IF(OR($B19="",$C19=""),"",$C19*$H19)</f>
        <v/>
      </c>
      <c r="J19" s="19" t="str">
        <f aca="false">IF(OR($B19="",$C19=""),"",Assumptions!$C$24*($H19*(1-$H19)+$H19*(1+Assumptions!$C$9)*(1-$H19*(1+Assumptions!$C$9)))/($H19*Assumptions!$C$9)^2)</f>
        <v/>
      </c>
      <c r="K19" s="19" t="str">
        <f aca="false">IF(OR($B19="",$C19=""),"",$C19/Assumptions!$C$14*Assumptions!$C$11)</f>
        <v/>
      </c>
      <c r="L19" s="20" t="str">
        <f aca="false">IF(OR($B19="",$C19=""),"",$J19*Assumptions!$C$10/$K19)</f>
        <v/>
      </c>
      <c r="M19" s="21" t="str">
        <f aca="false">IF(OR($B19="",$C19=""),"",MIN(Assumptions!$C$20,52/MAX($L19,Assumptions!$C$12)))</f>
        <v/>
      </c>
      <c r="N19" s="22" t="str">
        <f aca="false">IF(OR($B19="",$C19=""),"",SQRT(Assumptions!$C$24)*SQRT(2*$H19*(1-$H19)/($K19*4/Assumptions!$C$10))/$H19)</f>
        <v/>
      </c>
      <c r="O19" s="23" t="str">
        <f aca="false">IF(OR($B19="",$C19=""),"",IF(AND($L19&lt;=Assumptions!$C$16,$B19&gt;=Assumptions!$C$17),"Tier 1",IF(AND($L19&lt;=Assumptions!$C$18,$B19&gt;=Assumptions!$C$19),"Tier 2","Tier 3")))</f>
        <v/>
      </c>
      <c r="P19" s="24" t="str">
        <f aca="false">IF(OR($B19="",$C19=""),"",IF($O19="Tier 1","Pursue — offer trial; plan 2-week tests",IF($O19="Tier 2","Qualify — trial only on top-traffic pages, bold tests (≥10% lift)","Don't trial A/B — nurture or sell non-testing services")))</f>
        <v/>
      </c>
    </row>
    <row r="20" customFormat="false" ht="15" hidden="false" customHeight="false" outlineLevel="0" collapsed="false">
      <c r="A20" s="13"/>
      <c r="B20" s="14"/>
      <c r="C20" s="15"/>
      <c r="D20" s="14"/>
      <c r="E20" s="13"/>
      <c r="F20" s="16" t="str">
        <f aca="false">IF(OR($B20="",$C20=""),"",IF($D20="",Assumptions!$C$13,$D20))</f>
        <v/>
      </c>
      <c r="G20" s="17" t="str">
        <f aca="false">IF(OR($B20="",$C20=""),"",$B20*1000000/12/$C20)</f>
        <v/>
      </c>
      <c r="H20" s="18" t="str">
        <f aca="false">IF(OR($B20="",$C20=""),"",$G20/$F20)</f>
        <v/>
      </c>
      <c r="I20" s="19" t="str">
        <f aca="false">IF(OR($B20="",$C20=""),"",$C20*$H20)</f>
        <v/>
      </c>
      <c r="J20" s="19" t="str">
        <f aca="false">IF(OR($B20="",$C20=""),"",Assumptions!$C$24*($H20*(1-$H20)+$H20*(1+Assumptions!$C$9)*(1-$H20*(1+Assumptions!$C$9)))/($H20*Assumptions!$C$9)^2)</f>
        <v/>
      </c>
      <c r="K20" s="19" t="str">
        <f aca="false">IF(OR($B20="",$C20=""),"",$C20/Assumptions!$C$14*Assumptions!$C$11)</f>
        <v/>
      </c>
      <c r="L20" s="20" t="str">
        <f aca="false">IF(OR($B20="",$C20=""),"",$J20*Assumptions!$C$10/$K20)</f>
        <v/>
      </c>
      <c r="M20" s="21" t="str">
        <f aca="false">IF(OR($B20="",$C20=""),"",MIN(Assumptions!$C$20,52/MAX($L20,Assumptions!$C$12)))</f>
        <v/>
      </c>
      <c r="N20" s="22" t="str">
        <f aca="false">IF(OR($B20="",$C20=""),"",SQRT(Assumptions!$C$24)*SQRT(2*$H20*(1-$H20)/($K20*4/Assumptions!$C$10))/$H20)</f>
        <v/>
      </c>
      <c r="O20" s="23" t="str">
        <f aca="false">IF(OR($B20="",$C20=""),"",IF(AND($L20&lt;=Assumptions!$C$16,$B20&gt;=Assumptions!$C$17),"Tier 1",IF(AND($L20&lt;=Assumptions!$C$18,$B20&gt;=Assumptions!$C$19),"Tier 2","Tier 3")))</f>
        <v/>
      </c>
      <c r="P20" s="24" t="str">
        <f aca="false">IF(OR($B20="",$C20=""),"",IF($O20="Tier 1","Pursue — offer trial; plan 2-week tests",IF($O20="Tier 2","Qualify — trial only on top-traffic pages, bold tests (≥10% lift)","Don't trial A/B — nurture or sell non-testing services")))</f>
        <v/>
      </c>
    </row>
    <row r="21" customFormat="false" ht="15" hidden="false" customHeight="false" outlineLevel="0" collapsed="false">
      <c r="A21" s="13"/>
      <c r="B21" s="14"/>
      <c r="C21" s="15"/>
      <c r="D21" s="14"/>
      <c r="E21" s="13"/>
      <c r="F21" s="16" t="str">
        <f aca="false">IF(OR($B21="",$C21=""),"",IF($D21="",Assumptions!$C$13,$D21))</f>
        <v/>
      </c>
      <c r="G21" s="17" t="str">
        <f aca="false">IF(OR($B21="",$C21=""),"",$B21*1000000/12/$C21)</f>
        <v/>
      </c>
      <c r="H21" s="18" t="str">
        <f aca="false">IF(OR($B21="",$C21=""),"",$G21/$F21)</f>
        <v/>
      </c>
      <c r="I21" s="19" t="str">
        <f aca="false">IF(OR($B21="",$C21=""),"",$C21*$H21)</f>
        <v/>
      </c>
      <c r="J21" s="19" t="str">
        <f aca="false">IF(OR($B21="",$C21=""),"",Assumptions!$C$24*($H21*(1-$H21)+$H21*(1+Assumptions!$C$9)*(1-$H21*(1+Assumptions!$C$9)))/($H21*Assumptions!$C$9)^2)</f>
        <v/>
      </c>
      <c r="K21" s="19" t="str">
        <f aca="false">IF(OR($B21="",$C21=""),"",$C21/Assumptions!$C$14*Assumptions!$C$11)</f>
        <v/>
      </c>
      <c r="L21" s="20" t="str">
        <f aca="false">IF(OR($B21="",$C21=""),"",$J21*Assumptions!$C$10/$K21)</f>
        <v/>
      </c>
      <c r="M21" s="21" t="str">
        <f aca="false">IF(OR($B21="",$C21=""),"",MIN(Assumptions!$C$20,52/MAX($L21,Assumptions!$C$12)))</f>
        <v/>
      </c>
      <c r="N21" s="22" t="str">
        <f aca="false">IF(OR($B21="",$C21=""),"",SQRT(Assumptions!$C$24)*SQRT(2*$H21*(1-$H21)/($K21*4/Assumptions!$C$10))/$H21)</f>
        <v/>
      </c>
      <c r="O21" s="23" t="str">
        <f aca="false">IF(OR($B21="",$C21=""),"",IF(AND($L21&lt;=Assumptions!$C$16,$B21&gt;=Assumptions!$C$17),"Tier 1",IF(AND($L21&lt;=Assumptions!$C$18,$B21&gt;=Assumptions!$C$19),"Tier 2","Tier 3")))</f>
        <v/>
      </c>
      <c r="P21" s="24" t="str">
        <f aca="false">IF(OR($B21="",$C21=""),"",IF($O21="Tier 1","Pursue — offer trial; plan 2-week tests",IF($O21="Tier 2","Qualify — trial only on top-traffic pages, bold tests (≥10% lift)","Don't trial A/B — nurture or sell non-testing services")))</f>
        <v/>
      </c>
    </row>
    <row r="22" customFormat="false" ht="15" hidden="false" customHeight="false" outlineLevel="0" collapsed="false">
      <c r="A22" s="13"/>
      <c r="B22" s="14"/>
      <c r="C22" s="15"/>
      <c r="D22" s="14"/>
      <c r="E22" s="13"/>
      <c r="F22" s="16" t="str">
        <f aca="false">IF(OR($B22="",$C22=""),"",IF($D22="",Assumptions!$C$13,$D22))</f>
        <v/>
      </c>
      <c r="G22" s="17" t="str">
        <f aca="false">IF(OR($B22="",$C22=""),"",$B22*1000000/12/$C22)</f>
        <v/>
      </c>
      <c r="H22" s="18" t="str">
        <f aca="false">IF(OR($B22="",$C22=""),"",$G22/$F22)</f>
        <v/>
      </c>
      <c r="I22" s="19" t="str">
        <f aca="false">IF(OR($B22="",$C22=""),"",$C22*$H22)</f>
        <v/>
      </c>
      <c r="J22" s="19" t="str">
        <f aca="false">IF(OR($B22="",$C22=""),"",Assumptions!$C$24*($H22*(1-$H22)+$H22*(1+Assumptions!$C$9)*(1-$H22*(1+Assumptions!$C$9)))/($H22*Assumptions!$C$9)^2)</f>
        <v/>
      </c>
      <c r="K22" s="19" t="str">
        <f aca="false">IF(OR($B22="",$C22=""),"",$C22/Assumptions!$C$14*Assumptions!$C$11)</f>
        <v/>
      </c>
      <c r="L22" s="20" t="str">
        <f aca="false">IF(OR($B22="",$C22=""),"",$J22*Assumptions!$C$10/$K22)</f>
        <v/>
      </c>
      <c r="M22" s="21" t="str">
        <f aca="false">IF(OR($B22="",$C22=""),"",MIN(Assumptions!$C$20,52/MAX($L22,Assumptions!$C$12)))</f>
        <v/>
      </c>
      <c r="N22" s="22" t="str">
        <f aca="false">IF(OR($B22="",$C22=""),"",SQRT(Assumptions!$C$24)*SQRT(2*$H22*(1-$H22)/($K22*4/Assumptions!$C$10))/$H22)</f>
        <v/>
      </c>
      <c r="O22" s="23" t="str">
        <f aca="false">IF(OR($B22="",$C22=""),"",IF(AND($L22&lt;=Assumptions!$C$16,$B22&gt;=Assumptions!$C$17),"Tier 1",IF(AND($L22&lt;=Assumptions!$C$18,$B22&gt;=Assumptions!$C$19),"Tier 2","Tier 3")))</f>
        <v/>
      </c>
      <c r="P22" s="24" t="str">
        <f aca="false">IF(OR($B22="",$C22=""),"",IF($O22="Tier 1","Pursue — offer trial; plan 2-week tests",IF($O22="Tier 2","Qualify — trial only on top-traffic pages, bold tests (≥10% lift)","Don't trial A/B — nurture or sell non-testing services")))</f>
        <v/>
      </c>
    </row>
    <row r="23" customFormat="false" ht="15" hidden="false" customHeight="false" outlineLevel="0" collapsed="false">
      <c r="A23" s="13"/>
      <c r="B23" s="14"/>
      <c r="C23" s="15"/>
      <c r="D23" s="14"/>
      <c r="E23" s="13"/>
      <c r="F23" s="16" t="str">
        <f aca="false">IF(OR($B23="",$C23=""),"",IF($D23="",Assumptions!$C$13,$D23))</f>
        <v/>
      </c>
      <c r="G23" s="17" t="str">
        <f aca="false">IF(OR($B23="",$C23=""),"",$B23*1000000/12/$C23)</f>
        <v/>
      </c>
      <c r="H23" s="18" t="str">
        <f aca="false">IF(OR($B23="",$C23=""),"",$G23/$F23)</f>
        <v/>
      </c>
      <c r="I23" s="19" t="str">
        <f aca="false">IF(OR($B23="",$C23=""),"",$C23*$H23)</f>
        <v/>
      </c>
      <c r="J23" s="19" t="str">
        <f aca="false">IF(OR($B23="",$C23=""),"",Assumptions!$C$24*($H23*(1-$H23)+$H23*(1+Assumptions!$C$9)*(1-$H23*(1+Assumptions!$C$9)))/($H23*Assumptions!$C$9)^2)</f>
        <v/>
      </c>
      <c r="K23" s="19" t="str">
        <f aca="false">IF(OR($B23="",$C23=""),"",$C23/Assumptions!$C$14*Assumptions!$C$11)</f>
        <v/>
      </c>
      <c r="L23" s="20" t="str">
        <f aca="false">IF(OR($B23="",$C23=""),"",$J23*Assumptions!$C$10/$K23)</f>
        <v/>
      </c>
      <c r="M23" s="21" t="str">
        <f aca="false">IF(OR($B23="",$C23=""),"",MIN(Assumptions!$C$20,52/MAX($L23,Assumptions!$C$12)))</f>
        <v/>
      </c>
      <c r="N23" s="22" t="str">
        <f aca="false">IF(OR($B23="",$C23=""),"",SQRT(Assumptions!$C$24)*SQRT(2*$H23*(1-$H23)/($K23*4/Assumptions!$C$10))/$H23)</f>
        <v/>
      </c>
      <c r="O23" s="23" t="str">
        <f aca="false">IF(OR($B23="",$C23=""),"",IF(AND($L23&lt;=Assumptions!$C$16,$B23&gt;=Assumptions!$C$17),"Tier 1",IF(AND($L23&lt;=Assumptions!$C$18,$B23&gt;=Assumptions!$C$19),"Tier 2","Tier 3")))</f>
        <v/>
      </c>
      <c r="P23" s="24" t="str">
        <f aca="false">IF(OR($B23="",$C23=""),"",IF($O23="Tier 1","Pursue — offer trial; plan 2-week tests",IF($O23="Tier 2","Qualify — trial only on top-traffic pages, bold tests (≥10% lift)","Don't trial A/B — nurture or sell non-testing services")))</f>
        <v/>
      </c>
    </row>
    <row r="24" customFormat="false" ht="15" hidden="false" customHeight="false" outlineLevel="0" collapsed="false">
      <c r="A24" s="13"/>
      <c r="B24" s="14"/>
      <c r="C24" s="15"/>
      <c r="D24" s="14"/>
      <c r="E24" s="13"/>
      <c r="F24" s="16" t="str">
        <f aca="false">IF(OR($B24="",$C24=""),"",IF($D24="",Assumptions!$C$13,$D24))</f>
        <v/>
      </c>
      <c r="G24" s="17" t="str">
        <f aca="false">IF(OR($B24="",$C24=""),"",$B24*1000000/12/$C24)</f>
        <v/>
      </c>
      <c r="H24" s="18" t="str">
        <f aca="false">IF(OR($B24="",$C24=""),"",$G24/$F24)</f>
        <v/>
      </c>
      <c r="I24" s="19" t="str">
        <f aca="false">IF(OR($B24="",$C24=""),"",$C24*$H24)</f>
        <v/>
      </c>
      <c r="J24" s="19" t="str">
        <f aca="false">IF(OR($B24="",$C24=""),"",Assumptions!$C$24*($H24*(1-$H24)+$H24*(1+Assumptions!$C$9)*(1-$H24*(1+Assumptions!$C$9)))/($H24*Assumptions!$C$9)^2)</f>
        <v/>
      </c>
      <c r="K24" s="19" t="str">
        <f aca="false">IF(OR($B24="",$C24=""),"",$C24/Assumptions!$C$14*Assumptions!$C$11)</f>
        <v/>
      </c>
      <c r="L24" s="20" t="str">
        <f aca="false">IF(OR($B24="",$C24=""),"",$J24*Assumptions!$C$10/$K24)</f>
        <v/>
      </c>
      <c r="M24" s="21" t="str">
        <f aca="false">IF(OR($B24="",$C24=""),"",MIN(Assumptions!$C$20,52/MAX($L24,Assumptions!$C$12)))</f>
        <v/>
      </c>
      <c r="N24" s="22" t="str">
        <f aca="false">IF(OR($B24="",$C24=""),"",SQRT(Assumptions!$C$24)*SQRT(2*$H24*(1-$H24)/($K24*4/Assumptions!$C$10))/$H24)</f>
        <v/>
      </c>
      <c r="O24" s="23" t="str">
        <f aca="false">IF(OR($B24="",$C24=""),"",IF(AND($L24&lt;=Assumptions!$C$16,$B24&gt;=Assumptions!$C$17),"Tier 1",IF(AND($L24&lt;=Assumptions!$C$18,$B24&gt;=Assumptions!$C$19),"Tier 2","Tier 3")))</f>
        <v/>
      </c>
      <c r="P24" s="24" t="str">
        <f aca="false">IF(OR($B24="",$C24=""),"",IF($O24="Tier 1","Pursue — offer trial; plan 2-week tests",IF($O24="Tier 2","Qualify — trial only on top-traffic pages, bold tests (≥10% lift)","Don't trial A/B — nurture or sell non-testing services")))</f>
        <v/>
      </c>
    </row>
    <row r="25" customFormat="false" ht="15" hidden="false" customHeight="false" outlineLevel="0" collapsed="false">
      <c r="A25" s="13"/>
      <c r="B25" s="14"/>
      <c r="C25" s="15"/>
      <c r="D25" s="14"/>
      <c r="E25" s="13"/>
      <c r="F25" s="16" t="str">
        <f aca="false">IF(OR($B25="",$C25=""),"",IF($D25="",Assumptions!$C$13,$D25))</f>
        <v/>
      </c>
      <c r="G25" s="17" t="str">
        <f aca="false">IF(OR($B25="",$C25=""),"",$B25*1000000/12/$C25)</f>
        <v/>
      </c>
      <c r="H25" s="18" t="str">
        <f aca="false">IF(OR($B25="",$C25=""),"",$G25/$F25)</f>
        <v/>
      </c>
      <c r="I25" s="19" t="str">
        <f aca="false">IF(OR($B25="",$C25=""),"",$C25*$H25)</f>
        <v/>
      </c>
      <c r="J25" s="19" t="str">
        <f aca="false">IF(OR($B25="",$C25=""),"",Assumptions!$C$24*($H25*(1-$H25)+$H25*(1+Assumptions!$C$9)*(1-$H25*(1+Assumptions!$C$9)))/($H25*Assumptions!$C$9)^2)</f>
        <v/>
      </c>
      <c r="K25" s="19" t="str">
        <f aca="false">IF(OR($B25="",$C25=""),"",$C25/Assumptions!$C$14*Assumptions!$C$11)</f>
        <v/>
      </c>
      <c r="L25" s="20" t="str">
        <f aca="false">IF(OR($B25="",$C25=""),"",$J25*Assumptions!$C$10/$K25)</f>
        <v/>
      </c>
      <c r="M25" s="21" t="str">
        <f aca="false">IF(OR($B25="",$C25=""),"",MIN(Assumptions!$C$20,52/MAX($L25,Assumptions!$C$12)))</f>
        <v/>
      </c>
      <c r="N25" s="22" t="str">
        <f aca="false">IF(OR($B25="",$C25=""),"",SQRT(Assumptions!$C$24)*SQRT(2*$H25*(1-$H25)/($K25*4/Assumptions!$C$10))/$H25)</f>
        <v/>
      </c>
      <c r="O25" s="23" t="str">
        <f aca="false">IF(OR($B25="",$C25=""),"",IF(AND($L25&lt;=Assumptions!$C$16,$B25&gt;=Assumptions!$C$17),"Tier 1",IF(AND($L25&lt;=Assumptions!$C$18,$B25&gt;=Assumptions!$C$19),"Tier 2","Tier 3")))</f>
        <v/>
      </c>
      <c r="P25" s="24" t="str">
        <f aca="false">IF(OR($B25="",$C25=""),"",IF($O25="Tier 1","Pursue — offer trial; plan 2-week tests",IF($O25="Tier 2","Qualify — trial only on top-traffic pages, bold tests (≥10% lift)","Don't trial A/B — nurture or sell non-testing services")))</f>
        <v/>
      </c>
    </row>
    <row r="26" customFormat="false" ht="15" hidden="false" customHeight="false" outlineLevel="0" collapsed="false">
      <c r="A26" s="13"/>
      <c r="B26" s="14"/>
      <c r="C26" s="15"/>
      <c r="D26" s="14"/>
      <c r="E26" s="13"/>
      <c r="F26" s="16" t="str">
        <f aca="false">IF(OR($B26="",$C26=""),"",IF($D26="",Assumptions!$C$13,$D26))</f>
        <v/>
      </c>
      <c r="G26" s="17" t="str">
        <f aca="false">IF(OR($B26="",$C26=""),"",$B26*1000000/12/$C26)</f>
        <v/>
      </c>
      <c r="H26" s="18" t="str">
        <f aca="false">IF(OR($B26="",$C26=""),"",$G26/$F26)</f>
        <v/>
      </c>
      <c r="I26" s="19" t="str">
        <f aca="false">IF(OR($B26="",$C26=""),"",$C26*$H26)</f>
        <v/>
      </c>
      <c r="J26" s="19" t="str">
        <f aca="false">IF(OR($B26="",$C26=""),"",Assumptions!$C$24*($H26*(1-$H26)+$H26*(1+Assumptions!$C$9)*(1-$H26*(1+Assumptions!$C$9)))/($H26*Assumptions!$C$9)^2)</f>
        <v/>
      </c>
      <c r="K26" s="19" t="str">
        <f aca="false">IF(OR($B26="",$C26=""),"",$C26/Assumptions!$C$14*Assumptions!$C$11)</f>
        <v/>
      </c>
      <c r="L26" s="20" t="str">
        <f aca="false">IF(OR($B26="",$C26=""),"",$J26*Assumptions!$C$10/$K26)</f>
        <v/>
      </c>
      <c r="M26" s="21" t="str">
        <f aca="false">IF(OR($B26="",$C26=""),"",MIN(Assumptions!$C$20,52/MAX($L26,Assumptions!$C$12)))</f>
        <v/>
      </c>
      <c r="N26" s="22" t="str">
        <f aca="false">IF(OR($B26="",$C26=""),"",SQRT(Assumptions!$C$24)*SQRT(2*$H26*(1-$H26)/($K26*4/Assumptions!$C$10))/$H26)</f>
        <v/>
      </c>
      <c r="O26" s="23" t="str">
        <f aca="false">IF(OR($B26="",$C26=""),"",IF(AND($L26&lt;=Assumptions!$C$16,$B26&gt;=Assumptions!$C$17),"Tier 1",IF(AND($L26&lt;=Assumptions!$C$18,$B26&gt;=Assumptions!$C$19),"Tier 2","Tier 3")))</f>
        <v/>
      </c>
      <c r="P26" s="24" t="str">
        <f aca="false">IF(OR($B26="",$C26=""),"",IF($O26="Tier 1","Pursue — offer trial; plan 2-week tests",IF($O26="Tier 2","Qualify — trial only on top-traffic pages, bold tests (≥10% lift)","Don't trial A/B — nurture or sell non-testing services")))</f>
        <v/>
      </c>
    </row>
    <row r="27" customFormat="false" ht="15" hidden="false" customHeight="false" outlineLevel="0" collapsed="false">
      <c r="A27" s="13"/>
      <c r="B27" s="14"/>
      <c r="C27" s="15"/>
      <c r="D27" s="14"/>
      <c r="E27" s="13"/>
      <c r="F27" s="16" t="str">
        <f aca="false">IF(OR($B27="",$C27=""),"",IF($D27="",Assumptions!$C$13,$D27))</f>
        <v/>
      </c>
      <c r="G27" s="17" t="str">
        <f aca="false">IF(OR($B27="",$C27=""),"",$B27*1000000/12/$C27)</f>
        <v/>
      </c>
      <c r="H27" s="18" t="str">
        <f aca="false">IF(OR($B27="",$C27=""),"",$G27/$F27)</f>
        <v/>
      </c>
      <c r="I27" s="19" t="str">
        <f aca="false">IF(OR($B27="",$C27=""),"",$C27*$H27)</f>
        <v/>
      </c>
      <c r="J27" s="19" t="str">
        <f aca="false">IF(OR($B27="",$C27=""),"",Assumptions!$C$24*($H27*(1-$H27)+$H27*(1+Assumptions!$C$9)*(1-$H27*(1+Assumptions!$C$9)))/($H27*Assumptions!$C$9)^2)</f>
        <v/>
      </c>
      <c r="K27" s="19" t="str">
        <f aca="false">IF(OR($B27="",$C27=""),"",$C27/Assumptions!$C$14*Assumptions!$C$11)</f>
        <v/>
      </c>
      <c r="L27" s="20" t="str">
        <f aca="false">IF(OR($B27="",$C27=""),"",$J27*Assumptions!$C$10/$K27)</f>
        <v/>
      </c>
      <c r="M27" s="21" t="str">
        <f aca="false">IF(OR($B27="",$C27=""),"",MIN(Assumptions!$C$20,52/MAX($L27,Assumptions!$C$12)))</f>
        <v/>
      </c>
      <c r="N27" s="22" t="str">
        <f aca="false">IF(OR($B27="",$C27=""),"",SQRT(Assumptions!$C$24)*SQRT(2*$H27*(1-$H27)/($K27*4/Assumptions!$C$10))/$H27)</f>
        <v/>
      </c>
      <c r="O27" s="23" t="str">
        <f aca="false">IF(OR($B27="",$C27=""),"",IF(AND($L27&lt;=Assumptions!$C$16,$B27&gt;=Assumptions!$C$17),"Tier 1",IF(AND($L27&lt;=Assumptions!$C$18,$B27&gt;=Assumptions!$C$19),"Tier 2","Tier 3")))</f>
        <v/>
      </c>
      <c r="P27" s="24" t="str">
        <f aca="false">IF(OR($B27="",$C27=""),"",IF($O27="Tier 1","Pursue — offer trial; plan 2-week tests",IF($O27="Tier 2","Qualify — trial only on top-traffic pages, bold tests (≥10% lift)","Don't trial A/B — nurture or sell non-testing services")))</f>
        <v/>
      </c>
    </row>
    <row r="28" customFormat="false" ht="15" hidden="false" customHeight="false" outlineLevel="0" collapsed="false">
      <c r="A28" s="13"/>
      <c r="B28" s="14"/>
      <c r="C28" s="15"/>
      <c r="D28" s="14"/>
      <c r="E28" s="13"/>
      <c r="F28" s="16" t="str">
        <f aca="false">IF(OR($B28="",$C28=""),"",IF($D28="",Assumptions!$C$13,$D28))</f>
        <v/>
      </c>
      <c r="G28" s="17" t="str">
        <f aca="false">IF(OR($B28="",$C28=""),"",$B28*1000000/12/$C28)</f>
        <v/>
      </c>
      <c r="H28" s="18" t="str">
        <f aca="false">IF(OR($B28="",$C28=""),"",$G28/$F28)</f>
        <v/>
      </c>
      <c r="I28" s="19" t="str">
        <f aca="false">IF(OR($B28="",$C28=""),"",$C28*$H28)</f>
        <v/>
      </c>
      <c r="J28" s="19" t="str">
        <f aca="false">IF(OR($B28="",$C28=""),"",Assumptions!$C$24*($H28*(1-$H28)+$H28*(1+Assumptions!$C$9)*(1-$H28*(1+Assumptions!$C$9)))/($H28*Assumptions!$C$9)^2)</f>
        <v/>
      </c>
      <c r="K28" s="19" t="str">
        <f aca="false">IF(OR($B28="",$C28=""),"",$C28/Assumptions!$C$14*Assumptions!$C$11)</f>
        <v/>
      </c>
      <c r="L28" s="20" t="str">
        <f aca="false">IF(OR($B28="",$C28=""),"",$J28*Assumptions!$C$10/$K28)</f>
        <v/>
      </c>
      <c r="M28" s="21" t="str">
        <f aca="false">IF(OR($B28="",$C28=""),"",MIN(Assumptions!$C$20,52/MAX($L28,Assumptions!$C$12)))</f>
        <v/>
      </c>
      <c r="N28" s="22" t="str">
        <f aca="false">IF(OR($B28="",$C28=""),"",SQRT(Assumptions!$C$24)*SQRT(2*$H28*(1-$H28)/($K28*4/Assumptions!$C$10))/$H28)</f>
        <v/>
      </c>
      <c r="O28" s="23" t="str">
        <f aca="false">IF(OR($B28="",$C28=""),"",IF(AND($L28&lt;=Assumptions!$C$16,$B28&gt;=Assumptions!$C$17),"Tier 1",IF(AND($L28&lt;=Assumptions!$C$18,$B28&gt;=Assumptions!$C$19),"Tier 2","Tier 3")))</f>
        <v/>
      </c>
      <c r="P28" s="24" t="str">
        <f aca="false">IF(OR($B28="",$C28=""),"",IF($O28="Tier 1","Pursue — offer trial; plan 2-week tests",IF($O28="Tier 2","Qualify — trial only on top-traffic pages, bold tests (≥10% lift)","Don't trial A/B — nurture or sell non-testing services")))</f>
        <v/>
      </c>
    </row>
    <row r="29" customFormat="false" ht="15" hidden="false" customHeight="false" outlineLevel="0" collapsed="false">
      <c r="A29" s="13"/>
      <c r="B29" s="14"/>
      <c r="C29" s="15"/>
      <c r="D29" s="14"/>
      <c r="E29" s="13"/>
      <c r="F29" s="16" t="str">
        <f aca="false">IF(OR($B29="",$C29=""),"",IF($D29="",Assumptions!$C$13,$D29))</f>
        <v/>
      </c>
      <c r="G29" s="17" t="str">
        <f aca="false">IF(OR($B29="",$C29=""),"",$B29*1000000/12/$C29)</f>
        <v/>
      </c>
      <c r="H29" s="18" t="str">
        <f aca="false">IF(OR($B29="",$C29=""),"",$G29/$F29)</f>
        <v/>
      </c>
      <c r="I29" s="19" t="str">
        <f aca="false">IF(OR($B29="",$C29=""),"",$C29*$H29)</f>
        <v/>
      </c>
      <c r="J29" s="19" t="str">
        <f aca="false">IF(OR($B29="",$C29=""),"",Assumptions!$C$24*($H29*(1-$H29)+$H29*(1+Assumptions!$C$9)*(1-$H29*(1+Assumptions!$C$9)))/($H29*Assumptions!$C$9)^2)</f>
        <v/>
      </c>
      <c r="K29" s="19" t="str">
        <f aca="false">IF(OR($B29="",$C29=""),"",$C29/Assumptions!$C$14*Assumptions!$C$11)</f>
        <v/>
      </c>
      <c r="L29" s="20" t="str">
        <f aca="false">IF(OR($B29="",$C29=""),"",$J29*Assumptions!$C$10/$K29)</f>
        <v/>
      </c>
      <c r="M29" s="21" t="str">
        <f aca="false">IF(OR($B29="",$C29=""),"",MIN(Assumptions!$C$20,52/MAX($L29,Assumptions!$C$12)))</f>
        <v/>
      </c>
      <c r="N29" s="22" t="str">
        <f aca="false">IF(OR($B29="",$C29=""),"",SQRT(Assumptions!$C$24)*SQRT(2*$H29*(1-$H29)/($K29*4/Assumptions!$C$10))/$H29)</f>
        <v/>
      </c>
      <c r="O29" s="23" t="str">
        <f aca="false">IF(OR($B29="",$C29=""),"",IF(AND($L29&lt;=Assumptions!$C$16,$B29&gt;=Assumptions!$C$17),"Tier 1",IF(AND($L29&lt;=Assumptions!$C$18,$B29&gt;=Assumptions!$C$19),"Tier 2","Tier 3")))</f>
        <v/>
      </c>
      <c r="P29" s="24" t="str">
        <f aca="false">IF(OR($B29="",$C29=""),"",IF($O29="Tier 1","Pursue — offer trial; plan 2-week tests",IF($O29="Tier 2","Qualify — trial only on top-traffic pages, bold tests (≥10% lift)","Don't trial A/B — nurture or sell non-testing services")))</f>
        <v/>
      </c>
    </row>
    <row r="30" customFormat="false" ht="15" hidden="false" customHeight="false" outlineLevel="0" collapsed="false">
      <c r="A30" s="13"/>
      <c r="B30" s="14"/>
      <c r="C30" s="15"/>
      <c r="D30" s="14"/>
      <c r="E30" s="13"/>
      <c r="F30" s="16" t="str">
        <f aca="false">IF(OR($B30="",$C30=""),"",IF($D30="",Assumptions!$C$13,$D30))</f>
        <v/>
      </c>
      <c r="G30" s="17" t="str">
        <f aca="false">IF(OR($B30="",$C30=""),"",$B30*1000000/12/$C30)</f>
        <v/>
      </c>
      <c r="H30" s="18" t="str">
        <f aca="false">IF(OR($B30="",$C30=""),"",$G30/$F30)</f>
        <v/>
      </c>
      <c r="I30" s="19" t="str">
        <f aca="false">IF(OR($B30="",$C30=""),"",$C30*$H30)</f>
        <v/>
      </c>
      <c r="J30" s="19" t="str">
        <f aca="false">IF(OR($B30="",$C30=""),"",Assumptions!$C$24*($H30*(1-$H30)+$H30*(1+Assumptions!$C$9)*(1-$H30*(1+Assumptions!$C$9)))/($H30*Assumptions!$C$9)^2)</f>
        <v/>
      </c>
      <c r="K30" s="19" t="str">
        <f aca="false">IF(OR($B30="",$C30=""),"",$C30/Assumptions!$C$14*Assumptions!$C$11)</f>
        <v/>
      </c>
      <c r="L30" s="20" t="str">
        <f aca="false">IF(OR($B30="",$C30=""),"",$J30*Assumptions!$C$10/$K30)</f>
        <v/>
      </c>
      <c r="M30" s="21" t="str">
        <f aca="false">IF(OR($B30="",$C30=""),"",MIN(Assumptions!$C$20,52/MAX($L30,Assumptions!$C$12)))</f>
        <v/>
      </c>
      <c r="N30" s="22" t="str">
        <f aca="false">IF(OR($B30="",$C30=""),"",SQRT(Assumptions!$C$24)*SQRT(2*$H30*(1-$H30)/($K30*4/Assumptions!$C$10))/$H30)</f>
        <v/>
      </c>
      <c r="O30" s="23" t="str">
        <f aca="false">IF(OR($B30="",$C30=""),"",IF(AND($L30&lt;=Assumptions!$C$16,$B30&gt;=Assumptions!$C$17),"Tier 1",IF(AND($L30&lt;=Assumptions!$C$18,$B30&gt;=Assumptions!$C$19),"Tier 2","Tier 3")))</f>
        <v/>
      </c>
      <c r="P30" s="24" t="str">
        <f aca="false">IF(OR($B30="",$C30=""),"",IF($O30="Tier 1","Pursue — offer trial; plan 2-week tests",IF($O30="Tier 2","Qualify — trial only on top-traffic pages, bold tests (≥10% lift)","Don't trial A/B — nurture or sell non-testing services")))</f>
        <v/>
      </c>
    </row>
    <row r="31" customFormat="false" ht="15" hidden="false" customHeight="false" outlineLevel="0" collapsed="false">
      <c r="A31" s="13"/>
      <c r="B31" s="14"/>
      <c r="C31" s="15"/>
      <c r="D31" s="14"/>
      <c r="E31" s="13"/>
      <c r="F31" s="16" t="str">
        <f aca="false">IF(OR($B31="",$C31=""),"",IF($D31="",Assumptions!$C$13,$D31))</f>
        <v/>
      </c>
      <c r="G31" s="17" t="str">
        <f aca="false">IF(OR($B31="",$C31=""),"",$B31*1000000/12/$C31)</f>
        <v/>
      </c>
      <c r="H31" s="18" t="str">
        <f aca="false">IF(OR($B31="",$C31=""),"",$G31/$F31)</f>
        <v/>
      </c>
      <c r="I31" s="19" t="str">
        <f aca="false">IF(OR($B31="",$C31=""),"",$C31*$H31)</f>
        <v/>
      </c>
      <c r="J31" s="19" t="str">
        <f aca="false">IF(OR($B31="",$C31=""),"",Assumptions!$C$24*($H31*(1-$H31)+$H31*(1+Assumptions!$C$9)*(1-$H31*(1+Assumptions!$C$9)))/($H31*Assumptions!$C$9)^2)</f>
        <v/>
      </c>
      <c r="K31" s="19" t="str">
        <f aca="false">IF(OR($B31="",$C31=""),"",$C31/Assumptions!$C$14*Assumptions!$C$11)</f>
        <v/>
      </c>
      <c r="L31" s="20" t="str">
        <f aca="false">IF(OR($B31="",$C31=""),"",$J31*Assumptions!$C$10/$K31)</f>
        <v/>
      </c>
      <c r="M31" s="21" t="str">
        <f aca="false">IF(OR($B31="",$C31=""),"",MIN(Assumptions!$C$20,52/MAX($L31,Assumptions!$C$12)))</f>
        <v/>
      </c>
      <c r="N31" s="22" t="str">
        <f aca="false">IF(OR($B31="",$C31=""),"",SQRT(Assumptions!$C$24)*SQRT(2*$H31*(1-$H31)/($K31*4/Assumptions!$C$10))/$H31)</f>
        <v/>
      </c>
      <c r="O31" s="23" t="str">
        <f aca="false">IF(OR($B31="",$C31=""),"",IF(AND($L31&lt;=Assumptions!$C$16,$B31&gt;=Assumptions!$C$17),"Tier 1",IF(AND($L31&lt;=Assumptions!$C$18,$B31&gt;=Assumptions!$C$19),"Tier 2","Tier 3")))</f>
        <v/>
      </c>
      <c r="P31" s="24" t="str">
        <f aca="false">IF(OR($B31="",$C31=""),"",IF($O31="Tier 1","Pursue — offer trial; plan 2-week tests",IF($O31="Tier 2","Qualify — trial only on top-traffic pages, bold tests (≥10% lift)","Don't trial A/B — nurture or sell non-testing services")))</f>
        <v/>
      </c>
    </row>
    <row r="32" customFormat="false" ht="15" hidden="false" customHeight="false" outlineLevel="0" collapsed="false">
      <c r="A32" s="13"/>
      <c r="B32" s="14"/>
      <c r="C32" s="15"/>
      <c r="D32" s="14"/>
      <c r="E32" s="13"/>
      <c r="F32" s="16" t="str">
        <f aca="false">IF(OR($B32="",$C32=""),"",IF($D32="",Assumptions!$C$13,$D32))</f>
        <v/>
      </c>
      <c r="G32" s="17" t="str">
        <f aca="false">IF(OR($B32="",$C32=""),"",$B32*1000000/12/$C32)</f>
        <v/>
      </c>
      <c r="H32" s="18" t="str">
        <f aca="false">IF(OR($B32="",$C32=""),"",$G32/$F32)</f>
        <v/>
      </c>
      <c r="I32" s="19" t="str">
        <f aca="false">IF(OR($B32="",$C32=""),"",$C32*$H32)</f>
        <v/>
      </c>
      <c r="J32" s="19" t="str">
        <f aca="false">IF(OR($B32="",$C32=""),"",Assumptions!$C$24*($H32*(1-$H32)+$H32*(1+Assumptions!$C$9)*(1-$H32*(1+Assumptions!$C$9)))/($H32*Assumptions!$C$9)^2)</f>
        <v/>
      </c>
      <c r="K32" s="19" t="str">
        <f aca="false">IF(OR($B32="",$C32=""),"",$C32/Assumptions!$C$14*Assumptions!$C$11)</f>
        <v/>
      </c>
      <c r="L32" s="20" t="str">
        <f aca="false">IF(OR($B32="",$C32=""),"",$J32*Assumptions!$C$10/$K32)</f>
        <v/>
      </c>
      <c r="M32" s="21" t="str">
        <f aca="false">IF(OR($B32="",$C32=""),"",MIN(Assumptions!$C$20,52/MAX($L32,Assumptions!$C$12)))</f>
        <v/>
      </c>
      <c r="N32" s="22" t="str">
        <f aca="false">IF(OR($B32="",$C32=""),"",SQRT(Assumptions!$C$24)*SQRT(2*$H32*(1-$H32)/($K32*4/Assumptions!$C$10))/$H32)</f>
        <v/>
      </c>
      <c r="O32" s="23" t="str">
        <f aca="false">IF(OR($B32="",$C32=""),"",IF(AND($L32&lt;=Assumptions!$C$16,$B32&gt;=Assumptions!$C$17),"Tier 1",IF(AND($L32&lt;=Assumptions!$C$18,$B32&gt;=Assumptions!$C$19),"Tier 2","Tier 3")))</f>
        <v/>
      </c>
      <c r="P32" s="24" t="str">
        <f aca="false">IF(OR($B32="",$C32=""),"",IF($O32="Tier 1","Pursue — offer trial; plan 2-week tests",IF($O32="Tier 2","Qualify — trial only on top-traffic pages, bold tests (≥10% lift)","Don't trial A/B — nurture or sell non-testing services")))</f>
        <v/>
      </c>
    </row>
    <row r="33" customFormat="false" ht="15" hidden="false" customHeight="false" outlineLevel="0" collapsed="false">
      <c r="A33" s="13"/>
      <c r="B33" s="14"/>
      <c r="C33" s="15"/>
      <c r="D33" s="14"/>
      <c r="E33" s="13"/>
      <c r="F33" s="16" t="str">
        <f aca="false">IF(OR($B33="",$C33=""),"",IF($D33="",Assumptions!$C$13,$D33))</f>
        <v/>
      </c>
      <c r="G33" s="17" t="str">
        <f aca="false">IF(OR($B33="",$C33=""),"",$B33*1000000/12/$C33)</f>
        <v/>
      </c>
      <c r="H33" s="18" t="str">
        <f aca="false">IF(OR($B33="",$C33=""),"",$G33/$F33)</f>
        <v/>
      </c>
      <c r="I33" s="19" t="str">
        <f aca="false">IF(OR($B33="",$C33=""),"",$C33*$H33)</f>
        <v/>
      </c>
      <c r="J33" s="19" t="str">
        <f aca="false">IF(OR($B33="",$C33=""),"",Assumptions!$C$24*($H33*(1-$H33)+$H33*(1+Assumptions!$C$9)*(1-$H33*(1+Assumptions!$C$9)))/($H33*Assumptions!$C$9)^2)</f>
        <v/>
      </c>
      <c r="K33" s="19" t="str">
        <f aca="false">IF(OR($B33="",$C33=""),"",$C33/Assumptions!$C$14*Assumptions!$C$11)</f>
        <v/>
      </c>
      <c r="L33" s="20" t="str">
        <f aca="false">IF(OR($B33="",$C33=""),"",$J33*Assumptions!$C$10/$K33)</f>
        <v/>
      </c>
      <c r="M33" s="21" t="str">
        <f aca="false">IF(OR($B33="",$C33=""),"",MIN(Assumptions!$C$20,52/MAX($L33,Assumptions!$C$12)))</f>
        <v/>
      </c>
      <c r="N33" s="22" t="str">
        <f aca="false">IF(OR($B33="",$C33=""),"",SQRT(Assumptions!$C$24)*SQRT(2*$H33*(1-$H33)/($K33*4/Assumptions!$C$10))/$H33)</f>
        <v/>
      </c>
      <c r="O33" s="23" t="str">
        <f aca="false">IF(OR($B33="",$C33=""),"",IF(AND($L33&lt;=Assumptions!$C$16,$B33&gt;=Assumptions!$C$17),"Tier 1",IF(AND($L33&lt;=Assumptions!$C$18,$B33&gt;=Assumptions!$C$19),"Tier 2","Tier 3")))</f>
        <v/>
      </c>
      <c r="P33" s="24" t="str">
        <f aca="false">IF(OR($B33="",$C33=""),"",IF($O33="Tier 1","Pursue — offer trial; plan 2-week tests",IF($O33="Tier 2","Qualify — trial only on top-traffic pages, bold tests (≥10% lift)","Don't trial A/B — nurture or sell non-testing services")))</f>
        <v/>
      </c>
    </row>
    <row r="34" customFormat="false" ht="15" hidden="false" customHeight="false" outlineLevel="0" collapsed="false">
      <c r="A34" s="13"/>
      <c r="B34" s="14"/>
      <c r="C34" s="15"/>
      <c r="D34" s="14"/>
      <c r="E34" s="13"/>
      <c r="F34" s="16" t="str">
        <f aca="false">IF(OR($B34="",$C34=""),"",IF($D34="",Assumptions!$C$13,$D34))</f>
        <v/>
      </c>
      <c r="G34" s="17" t="str">
        <f aca="false">IF(OR($B34="",$C34=""),"",$B34*1000000/12/$C34)</f>
        <v/>
      </c>
      <c r="H34" s="18" t="str">
        <f aca="false">IF(OR($B34="",$C34=""),"",$G34/$F34)</f>
        <v/>
      </c>
      <c r="I34" s="19" t="str">
        <f aca="false">IF(OR($B34="",$C34=""),"",$C34*$H34)</f>
        <v/>
      </c>
      <c r="J34" s="19" t="str">
        <f aca="false">IF(OR($B34="",$C34=""),"",Assumptions!$C$24*($H34*(1-$H34)+$H34*(1+Assumptions!$C$9)*(1-$H34*(1+Assumptions!$C$9)))/($H34*Assumptions!$C$9)^2)</f>
        <v/>
      </c>
      <c r="K34" s="19" t="str">
        <f aca="false">IF(OR($B34="",$C34=""),"",$C34/Assumptions!$C$14*Assumptions!$C$11)</f>
        <v/>
      </c>
      <c r="L34" s="20" t="str">
        <f aca="false">IF(OR($B34="",$C34=""),"",$J34*Assumptions!$C$10/$K34)</f>
        <v/>
      </c>
      <c r="M34" s="21" t="str">
        <f aca="false">IF(OR($B34="",$C34=""),"",MIN(Assumptions!$C$20,52/MAX($L34,Assumptions!$C$12)))</f>
        <v/>
      </c>
      <c r="N34" s="22" t="str">
        <f aca="false">IF(OR($B34="",$C34=""),"",SQRT(Assumptions!$C$24)*SQRT(2*$H34*(1-$H34)/($K34*4/Assumptions!$C$10))/$H34)</f>
        <v/>
      </c>
      <c r="O34" s="23" t="str">
        <f aca="false">IF(OR($B34="",$C34=""),"",IF(AND($L34&lt;=Assumptions!$C$16,$B34&gt;=Assumptions!$C$17),"Tier 1",IF(AND($L34&lt;=Assumptions!$C$18,$B34&gt;=Assumptions!$C$19),"Tier 2","Tier 3")))</f>
        <v/>
      </c>
      <c r="P34" s="24" t="str">
        <f aca="false">IF(OR($B34="",$C34=""),"",IF($O34="Tier 1","Pursue — offer trial; plan 2-week tests",IF($O34="Tier 2","Qualify — trial only on top-traffic pages, bold tests (≥10% lift)","Don't trial A/B — nurture or sell non-testing services")))</f>
        <v/>
      </c>
    </row>
    <row r="35" customFormat="false" ht="15" hidden="false" customHeight="false" outlineLevel="0" collapsed="false">
      <c r="A35" s="13"/>
      <c r="B35" s="14"/>
      <c r="C35" s="15"/>
      <c r="D35" s="14"/>
      <c r="E35" s="13"/>
      <c r="F35" s="16" t="str">
        <f aca="false">IF(OR($B35="",$C35=""),"",IF($D35="",Assumptions!$C$13,$D35))</f>
        <v/>
      </c>
      <c r="G35" s="17" t="str">
        <f aca="false">IF(OR($B35="",$C35=""),"",$B35*1000000/12/$C35)</f>
        <v/>
      </c>
      <c r="H35" s="18" t="str">
        <f aca="false">IF(OR($B35="",$C35=""),"",$G35/$F35)</f>
        <v/>
      </c>
      <c r="I35" s="19" t="str">
        <f aca="false">IF(OR($B35="",$C35=""),"",$C35*$H35)</f>
        <v/>
      </c>
      <c r="J35" s="19" t="str">
        <f aca="false">IF(OR($B35="",$C35=""),"",Assumptions!$C$24*($H35*(1-$H35)+$H35*(1+Assumptions!$C$9)*(1-$H35*(1+Assumptions!$C$9)))/($H35*Assumptions!$C$9)^2)</f>
        <v/>
      </c>
      <c r="K35" s="19" t="str">
        <f aca="false">IF(OR($B35="",$C35=""),"",$C35/Assumptions!$C$14*Assumptions!$C$11)</f>
        <v/>
      </c>
      <c r="L35" s="20" t="str">
        <f aca="false">IF(OR($B35="",$C35=""),"",$J35*Assumptions!$C$10/$K35)</f>
        <v/>
      </c>
      <c r="M35" s="21" t="str">
        <f aca="false">IF(OR($B35="",$C35=""),"",MIN(Assumptions!$C$20,52/MAX($L35,Assumptions!$C$12)))</f>
        <v/>
      </c>
      <c r="N35" s="22" t="str">
        <f aca="false">IF(OR($B35="",$C35=""),"",SQRT(Assumptions!$C$24)*SQRT(2*$H35*(1-$H35)/($K35*4/Assumptions!$C$10))/$H35)</f>
        <v/>
      </c>
      <c r="O35" s="23" t="str">
        <f aca="false">IF(OR($B35="",$C35=""),"",IF(AND($L35&lt;=Assumptions!$C$16,$B35&gt;=Assumptions!$C$17),"Tier 1",IF(AND($L35&lt;=Assumptions!$C$18,$B35&gt;=Assumptions!$C$19),"Tier 2","Tier 3")))</f>
        <v/>
      </c>
      <c r="P35" s="24" t="str">
        <f aca="false">IF(OR($B35="",$C35=""),"",IF($O35="Tier 1","Pursue — offer trial; plan 2-week tests",IF($O35="Tier 2","Qualify — trial only on top-traffic pages, bold tests (≥10% lift)","Don't trial A/B — nurture or sell non-testing services")))</f>
        <v/>
      </c>
    </row>
    <row r="36" customFormat="false" ht="15" hidden="false" customHeight="false" outlineLevel="0" collapsed="false">
      <c r="A36" s="13"/>
      <c r="B36" s="14"/>
      <c r="C36" s="15"/>
      <c r="D36" s="14"/>
      <c r="E36" s="13"/>
      <c r="F36" s="16" t="str">
        <f aca="false">IF(OR($B36="",$C36=""),"",IF($D36="",Assumptions!$C$13,$D36))</f>
        <v/>
      </c>
      <c r="G36" s="17" t="str">
        <f aca="false">IF(OR($B36="",$C36=""),"",$B36*1000000/12/$C36)</f>
        <v/>
      </c>
      <c r="H36" s="18" t="str">
        <f aca="false">IF(OR($B36="",$C36=""),"",$G36/$F36)</f>
        <v/>
      </c>
      <c r="I36" s="19" t="str">
        <f aca="false">IF(OR($B36="",$C36=""),"",$C36*$H36)</f>
        <v/>
      </c>
      <c r="J36" s="19" t="str">
        <f aca="false">IF(OR($B36="",$C36=""),"",Assumptions!$C$24*($H36*(1-$H36)+$H36*(1+Assumptions!$C$9)*(1-$H36*(1+Assumptions!$C$9)))/($H36*Assumptions!$C$9)^2)</f>
        <v/>
      </c>
      <c r="K36" s="19" t="str">
        <f aca="false">IF(OR($B36="",$C36=""),"",$C36/Assumptions!$C$14*Assumptions!$C$11)</f>
        <v/>
      </c>
      <c r="L36" s="20" t="str">
        <f aca="false">IF(OR($B36="",$C36=""),"",$J36*Assumptions!$C$10/$K36)</f>
        <v/>
      </c>
      <c r="M36" s="21" t="str">
        <f aca="false">IF(OR($B36="",$C36=""),"",MIN(Assumptions!$C$20,52/MAX($L36,Assumptions!$C$12)))</f>
        <v/>
      </c>
      <c r="N36" s="22" t="str">
        <f aca="false">IF(OR($B36="",$C36=""),"",SQRT(Assumptions!$C$24)*SQRT(2*$H36*(1-$H36)/($K36*4/Assumptions!$C$10))/$H36)</f>
        <v/>
      </c>
      <c r="O36" s="23" t="str">
        <f aca="false">IF(OR($B36="",$C36=""),"",IF(AND($L36&lt;=Assumptions!$C$16,$B36&gt;=Assumptions!$C$17),"Tier 1",IF(AND($L36&lt;=Assumptions!$C$18,$B36&gt;=Assumptions!$C$19),"Tier 2","Tier 3")))</f>
        <v/>
      </c>
      <c r="P36" s="24" t="str">
        <f aca="false">IF(OR($B36="",$C36=""),"",IF($O36="Tier 1","Pursue — offer trial; plan 2-week tests",IF($O36="Tier 2","Qualify — trial only on top-traffic pages, bold tests (≥10% lift)","Don't trial A/B — nurture or sell non-testing services")))</f>
        <v/>
      </c>
    </row>
    <row r="37" customFormat="false" ht="15" hidden="false" customHeight="false" outlineLevel="0" collapsed="false">
      <c r="A37" s="13"/>
      <c r="B37" s="14"/>
      <c r="C37" s="15"/>
      <c r="D37" s="14"/>
      <c r="E37" s="13"/>
      <c r="F37" s="16" t="str">
        <f aca="false">IF(OR($B37="",$C37=""),"",IF($D37="",Assumptions!$C$13,$D37))</f>
        <v/>
      </c>
      <c r="G37" s="17" t="str">
        <f aca="false">IF(OR($B37="",$C37=""),"",$B37*1000000/12/$C37)</f>
        <v/>
      </c>
      <c r="H37" s="18" t="str">
        <f aca="false">IF(OR($B37="",$C37=""),"",$G37/$F37)</f>
        <v/>
      </c>
      <c r="I37" s="19" t="str">
        <f aca="false">IF(OR($B37="",$C37=""),"",$C37*$H37)</f>
        <v/>
      </c>
      <c r="J37" s="19" t="str">
        <f aca="false">IF(OR($B37="",$C37=""),"",Assumptions!$C$24*($H37*(1-$H37)+$H37*(1+Assumptions!$C$9)*(1-$H37*(1+Assumptions!$C$9)))/($H37*Assumptions!$C$9)^2)</f>
        <v/>
      </c>
      <c r="K37" s="19" t="str">
        <f aca="false">IF(OR($B37="",$C37=""),"",$C37/Assumptions!$C$14*Assumptions!$C$11)</f>
        <v/>
      </c>
      <c r="L37" s="20" t="str">
        <f aca="false">IF(OR($B37="",$C37=""),"",$J37*Assumptions!$C$10/$K37)</f>
        <v/>
      </c>
      <c r="M37" s="21" t="str">
        <f aca="false">IF(OR($B37="",$C37=""),"",MIN(Assumptions!$C$20,52/MAX($L37,Assumptions!$C$12)))</f>
        <v/>
      </c>
      <c r="N37" s="22" t="str">
        <f aca="false">IF(OR($B37="",$C37=""),"",SQRT(Assumptions!$C$24)*SQRT(2*$H37*(1-$H37)/($K37*4/Assumptions!$C$10))/$H37)</f>
        <v/>
      </c>
      <c r="O37" s="23" t="str">
        <f aca="false">IF(OR($B37="",$C37=""),"",IF(AND($L37&lt;=Assumptions!$C$16,$B37&gt;=Assumptions!$C$17),"Tier 1",IF(AND($L37&lt;=Assumptions!$C$18,$B37&gt;=Assumptions!$C$19),"Tier 2","Tier 3")))</f>
        <v/>
      </c>
      <c r="P37" s="24" t="str">
        <f aca="false">IF(OR($B37="",$C37=""),"",IF($O37="Tier 1","Pursue — offer trial; plan 2-week tests",IF($O37="Tier 2","Qualify — trial only on top-traffic pages, bold tests (≥10% lift)","Don't trial A/B — nurture or sell non-testing services")))</f>
        <v/>
      </c>
    </row>
    <row r="38" customFormat="false" ht="15" hidden="false" customHeight="false" outlineLevel="0" collapsed="false">
      <c r="A38" s="13"/>
      <c r="B38" s="14"/>
      <c r="C38" s="15"/>
      <c r="D38" s="14"/>
      <c r="E38" s="13"/>
      <c r="F38" s="16" t="str">
        <f aca="false">IF(OR($B38="",$C38=""),"",IF($D38="",Assumptions!$C$13,$D38))</f>
        <v/>
      </c>
      <c r="G38" s="17" t="str">
        <f aca="false">IF(OR($B38="",$C38=""),"",$B38*1000000/12/$C38)</f>
        <v/>
      </c>
      <c r="H38" s="18" t="str">
        <f aca="false">IF(OR($B38="",$C38=""),"",$G38/$F38)</f>
        <v/>
      </c>
      <c r="I38" s="19" t="str">
        <f aca="false">IF(OR($B38="",$C38=""),"",$C38*$H38)</f>
        <v/>
      </c>
      <c r="J38" s="19" t="str">
        <f aca="false">IF(OR($B38="",$C38=""),"",Assumptions!$C$24*($H38*(1-$H38)+$H38*(1+Assumptions!$C$9)*(1-$H38*(1+Assumptions!$C$9)))/($H38*Assumptions!$C$9)^2)</f>
        <v/>
      </c>
      <c r="K38" s="19" t="str">
        <f aca="false">IF(OR($B38="",$C38=""),"",$C38/Assumptions!$C$14*Assumptions!$C$11)</f>
        <v/>
      </c>
      <c r="L38" s="20" t="str">
        <f aca="false">IF(OR($B38="",$C38=""),"",$J38*Assumptions!$C$10/$K38)</f>
        <v/>
      </c>
      <c r="M38" s="21" t="str">
        <f aca="false">IF(OR($B38="",$C38=""),"",MIN(Assumptions!$C$20,52/MAX($L38,Assumptions!$C$12)))</f>
        <v/>
      </c>
      <c r="N38" s="22" t="str">
        <f aca="false">IF(OR($B38="",$C38=""),"",SQRT(Assumptions!$C$24)*SQRT(2*$H38*(1-$H38)/($K38*4/Assumptions!$C$10))/$H38)</f>
        <v/>
      </c>
      <c r="O38" s="23" t="str">
        <f aca="false">IF(OR($B38="",$C38=""),"",IF(AND($L38&lt;=Assumptions!$C$16,$B38&gt;=Assumptions!$C$17),"Tier 1",IF(AND($L38&lt;=Assumptions!$C$18,$B38&gt;=Assumptions!$C$19),"Tier 2","Tier 3")))</f>
        <v/>
      </c>
      <c r="P38" s="24" t="str">
        <f aca="false">IF(OR($B38="",$C38=""),"",IF($O38="Tier 1","Pursue — offer trial; plan 2-week tests",IF($O38="Tier 2","Qualify — trial only on top-traffic pages, bold tests (≥10% lift)","Don't trial A/B — nurture or sell non-testing services")))</f>
        <v/>
      </c>
    </row>
    <row r="39" customFormat="false" ht="15" hidden="false" customHeight="false" outlineLevel="0" collapsed="false">
      <c r="A39" s="13"/>
      <c r="B39" s="14"/>
      <c r="C39" s="15"/>
      <c r="D39" s="14"/>
      <c r="E39" s="13"/>
      <c r="F39" s="16" t="str">
        <f aca="false">IF(OR($B39="",$C39=""),"",IF($D39="",Assumptions!$C$13,$D39))</f>
        <v/>
      </c>
      <c r="G39" s="17" t="str">
        <f aca="false">IF(OR($B39="",$C39=""),"",$B39*1000000/12/$C39)</f>
        <v/>
      </c>
      <c r="H39" s="18" t="str">
        <f aca="false">IF(OR($B39="",$C39=""),"",$G39/$F39)</f>
        <v/>
      </c>
      <c r="I39" s="19" t="str">
        <f aca="false">IF(OR($B39="",$C39=""),"",$C39*$H39)</f>
        <v/>
      </c>
      <c r="J39" s="19" t="str">
        <f aca="false">IF(OR($B39="",$C39=""),"",Assumptions!$C$24*($H39*(1-$H39)+$H39*(1+Assumptions!$C$9)*(1-$H39*(1+Assumptions!$C$9)))/($H39*Assumptions!$C$9)^2)</f>
        <v/>
      </c>
      <c r="K39" s="19" t="str">
        <f aca="false">IF(OR($B39="",$C39=""),"",$C39/Assumptions!$C$14*Assumptions!$C$11)</f>
        <v/>
      </c>
      <c r="L39" s="20" t="str">
        <f aca="false">IF(OR($B39="",$C39=""),"",$J39*Assumptions!$C$10/$K39)</f>
        <v/>
      </c>
      <c r="M39" s="21" t="str">
        <f aca="false">IF(OR($B39="",$C39=""),"",MIN(Assumptions!$C$20,52/MAX($L39,Assumptions!$C$12)))</f>
        <v/>
      </c>
      <c r="N39" s="22" t="str">
        <f aca="false">IF(OR($B39="",$C39=""),"",SQRT(Assumptions!$C$24)*SQRT(2*$H39*(1-$H39)/($K39*4/Assumptions!$C$10))/$H39)</f>
        <v/>
      </c>
      <c r="O39" s="23" t="str">
        <f aca="false">IF(OR($B39="",$C39=""),"",IF(AND($L39&lt;=Assumptions!$C$16,$B39&gt;=Assumptions!$C$17),"Tier 1",IF(AND($L39&lt;=Assumptions!$C$18,$B39&gt;=Assumptions!$C$19),"Tier 2","Tier 3")))</f>
        <v/>
      </c>
      <c r="P39" s="24" t="str">
        <f aca="false">IF(OR($B39="",$C39=""),"",IF($O39="Tier 1","Pursue — offer trial; plan 2-week tests",IF($O39="Tier 2","Qualify — trial only on top-traffic pages, bold tests (≥10% lift)","Don't trial A/B — nurture or sell non-testing services")))</f>
        <v/>
      </c>
    </row>
    <row r="40" customFormat="false" ht="15" hidden="false" customHeight="false" outlineLevel="0" collapsed="false">
      <c r="A40" s="13"/>
      <c r="B40" s="14"/>
      <c r="C40" s="15"/>
      <c r="D40" s="14"/>
      <c r="E40" s="13"/>
      <c r="F40" s="16" t="str">
        <f aca="false">IF(OR($B40="",$C40=""),"",IF($D40="",Assumptions!$C$13,$D40))</f>
        <v/>
      </c>
      <c r="G40" s="17" t="str">
        <f aca="false">IF(OR($B40="",$C40=""),"",$B40*1000000/12/$C40)</f>
        <v/>
      </c>
      <c r="H40" s="18" t="str">
        <f aca="false">IF(OR($B40="",$C40=""),"",$G40/$F40)</f>
        <v/>
      </c>
      <c r="I40" s="19" t="str">
        <f aca="false">IF(OR($B40="",$C40=""),"",$C40*$H40)</f>
        <v/>
      </c>
      <c r="J40" s="19" t="str">
        <f aca="false">IF(OR($B40="",$C40=""),"",Assumptions!$C$24*($H40*(1-$H40)+$H40*(1+Assumptions!$C$9)*(1-$H40*(1+Assumptions!$C$9)))/($H40*Assumptions!$C$9)^2)</f>
        <v/>
      </c>
      <c r="K40" s="19" t="str">
        <f aca="false">IF(OR($B40="",$C40=""),"",$C40/Assumptions!$C$14*Assumptions!$C$11)</f>
        <v/>
      </c>
      <c r="L40" s="20" t="str">
        <f aca="false">IF(OR($B40="",$C40=""),"",$J40*Assumptions!$C$10/$K40)</f>
        <v/>
      </c>
      <c r="M40" s="21" t="str">
        <f aca="false">IF(OR($B40="",$C40=""),"",MIN(Assumptions!$C$20,52/MAX($L40,Assumptions!$C$12)))</f>
        <v/>
      </c>
      <c r="N40" s="22" t="str">
        <f aca="false">IF(OR($B40="",$C40=""),"",SQRT(Assumptions!$C$24)*SQRT(2*$H40*(1-$H40)/($K40*4/Assumptions!$C$10))/$H40)</f>
        <v/>
      </c>
      <c r="O40" s="23" t="str">
        <f aca="false">IF(OR($B40="",$C40=""),"",IF(AND($L40&lt;=Assumptions!$C$16,$B40&gt;=Assumptions!$C$17),"Tier 1",IF(AND($L40&lt;=Assumptions!$C$18,$B40&gt;=Assumptions!$C$19),"Tier 2","Tier 3")))</f>
        <v/>
      </c>
      <c r="P40" s="24" t="str">
        <f aca="false">IF(OR($B40="",$C40=""),"",IF($O40="Tier 1","Pursue — offer trial; plan 2-week tests",IF($O40="Tier 2","Qualify — trial only on top-traffic pages, bold tests (≥10% lift)","Don't trial A/B — nurture or sell non-testing services")))</f>
        <v/>
      </c>
    </row>
    <row r="41" customFormat="false" ht="15" hidden="false" customHeight="false" outlineLevel="0" collapsed="false">
      <c r="A41" s="13"/>
      <c r="B41" s="14"/>
      <c r="C41" s="15"/>
      <c r="D41" s="14"/>
      <c r="E41" s="13"/>
      <c r="F41" s="16" t="str">
        <f aca="false">IF(OR($B41="",$C41=""),"",IF($D41="",Assumptions!$C$13,$D41))</f>
        <v/>
      </c>
      <c r="G41" s="17" t="str">
        <f aca="false">IF(OR($B41="",$C41=""),"",$B41*1000000/12/$C41)</f>
        <v/>
      </c>
      <c r="H41" s="18" t="str">
        <f aca="false">IF(OR($B41="",$C41=""),"",$G41/$F41)</f>
        <v/>
      </c>
      <c r="I41" s="19" t="str">
        <f aca="false">IF(OR($B41="",$C41=""),"",$C41*$H41)</f>
        <v/>
      </c>
      <c r="J41" s="19" t="str">
        <f aca="false">IF(OR($B41="",$C41=""),"",Assumptions!$C$24*($H41*(1-$H41)+$H41*(1+Assumptions!$C$9)*(1-$H41*(1+Assumptions!$C$9)))/($H41*Assumptions!$C$9)^2)</f>
        <v/>
      </c>
      <c r="K41" s="19" t="str">
        <f aca="false">IF(OR($B41="",$C41=""),"",$C41/Assumptions!$C$14*Assumptions!$C$11)</f>
        <v/>
      </c>
      <c r="L41" s="20" t="str">
        <f aca="false">IF(OR($B41="",$C41=""),"",$J41*Assumptions!$C$10/$K41)</f>
        <v/>
      </c>
      <c r="M41" s="21" t="str">
        <f aca="false">IF(OR($B41="",$C41=""),"",MIN(Assumptions!$C$20,52/MAX($L41,Assumptions!$C$12)))</f>
        <v/>
      </c>
      <c r="N41" s="22" t="str">
        <f aca="false">IF(OR($B41="",$C41=""),"",SQRT(Assumptions!$C$24)*SQRT(2*$H41*(1-$H41)/($K41*4/Assumptions!$C$10))/$H41)</f>
        <v/>
      </c>
      <c r="O41" s="23" t="str">
        <f aca="false">IF(OR($B41="",$C41=""),"",IF(AND($L41&lt;=Assumptions!$C$16,$B41&gt;=Assumptions!$C$17),"Tier 1",IF(AND($L41&lt;=Assumptions!$C$18,$B41&gt;=Assumptions!$C$19),"Tier 2","Tier 3")))</f>
        <v/>
      </c>
      <c r="P41" s="24" t="str">
        <f aca="false">IF(OR($B41="",$C41=""),"",IF($O41="Tier 1","Pursue — offer trial; plan 2-week tests",IF($O41="Tier 2","Qualify — trial only on top-traffic pages, bold tests (≥10% lift)","Don't trial A/B — nurture or sell non-testing services")))</f>
        <v/>
      </c>
    </row>
    <row r="42" customFormat="false" ht="15" hidden="false" customHeight="false" outlineLevel="0" collapsed="false">
      <c r="A42" s="13"/>
      <c r="B42" s="14"/>
      <c r="C42" s="15"/>
      <c r="D42" s="14"/>
      <c r="E42" s="13"/>
      <c r="F42" s="16" t="str">
        <f aca="false">IF(OR($B42="",$C42=""),"",IF($D42="",Assumptions!$C$13,$D42))</f>
        <v/>
      </c>
      <c r="G42" s="17" t="str">
        <f aca="false">IF(OR($B42="",$C42=""),"",$B42*1000000/12/$C42)</f>
        <v/>
      </c>
      <c r="H42" s="18" t="str">
        <f aca="false">IF(OR($B42="",$C42=""),"",$G42/$F42)</f>
        <v/>
      </c>
      <c r="I42" s="19" t="str">
        <f aca="false">IF(OR($B42="",$C42=""),"",$C42*$H42)</f>
        <v/>
      </c>
      <c r="J42" s="19" t="str">
        <f aca="false">IF(OR($B42="",$C42=""),"",Assumptions!$C$24*($H42*(1-$H42)+$H42*(1+Assumptions!$C$9)*(1-$H42*(1+Assumptions!$C$9)))/($H42*Assumptions!$C$9)^2)</f>
        <v/>
      </c>
      <c r="K42" s="19" t="str">
        <f aca="false">IF(OR($B42="",$C42=""),"",$C42/Assumptions!$C$14*Assumptions!$C$11)</f>
        <v/>
      </c>
      <c r="L42" s="20" t="str">
        <f aca="false">IF(OR($B42="",$C42=""),"",$J42*Assumptions!$C$10/$K42)</f>
        <v/>
      </c>
      <c r="M42" s="21" t="str">
        <f aca="false">IF(OR($B42="",$C42=""),"",MIN(Assumptions!$C$20,52/MAX($L42,Assumptions!$C$12)))</f>
        <v/>
      </c>
      <c r="N42" s="22" t="str">
        <f aca="false">IF(OR($B42="",$C42=""),"",SQRT(Assumptions!$C$24)*SQRT(2*$H42*(1-$H42)/($K42*4/Assumptions!$C$10))/$H42)</f>
        <v/>
      </c>
      <c r="O42" s="23" t="str">
        <f aca="false">IF(OR($B42="",$C42=""),"",IF(AND($L42&lt;=Assumptions!$C$16,$B42&gt;=Assumptions!$C$17),"Tier 1",IF(AND($L42&lt;=Assumptions!$C$18,$B42&gt;=Assumptions!$C$19),"Tier 2","Tier 3")))</f>
        <v/>
      </c>
      <c r="P42" s="24" t="str">
        <f aca="false">IF(OR($B42="",$C42=""),"",IF($O42="Tier 1","Pursue — offer trial; plan 2-week tests",IF($O42="Tier 2","Qualify — trial only on top-traffic pages, bold tests (≥10% lift)","Don't trial A/B — nurture or sell non-testing services")))</f>
        <v/>
      </c>
    </row>
    <row r="43" customFormat="false" ht="15" hidden="false" customHeight="false" outlineLevel="0" collapsed="false">
      <c r="A43" s="13"/>
      <c r="B43" s="14"/>
      <c r="C43" s="15"/>
      <c r="D43" s="14"/>
      <c r="E43" s="13"/>
      <c r="F43" s="16" t="str">
        <f aca="false">IF(OR($B43="",$C43=""),"",IF($D43="",Assumptions!$C$13,$D43))</f>
        <v/>
      </c>
      <c r="G43" s="17" t="str">
        <f aca="false">IF(OR($B43="",$C43=""),"",$B43*1000000/12/$C43)</f>
        <v/>
      </c>
      <c r="H43" s="18" t="str">
        <f aca="false">IF(OR($B43="",$C43=""),"",$G43/$F43)</f>
        <v/>
      </c>
      <c r="I43" s="19" t="str">
        <f aca="false">IF(OR($B43="",$C43=""),"",$C43*$H43)</f>
        <v/>
      </c>
      <c r="J43" s="19" t="str">
        <f aca="false">IF(OR($B43="",$C43=""),"",Assumptions!$C$24*($H43*(1-$H43)+$H43*(1+Assumptions!$C$9)*(1-$H43*(1+Assumptions!$C$9)))/($H43*Assumptions!$C$9)^2)</f>
        <v/>
      </c>
      <c r="K43" s="19" t="str">
        <f aca="false">IF(OR($B43="",$C43=""),"",$C43/Assumptions!$C$14*Assumptions!$C$11)</f>
        <v/>
      </c>
      <c r="L43" s="20" t="str">
        <f aca="false">IF(OR($B43="",$C43=""),"",$J43*Assumptions!$C$10/$K43)</f>
        <v/>
      </c>
      <c r="M43" s="21" t="str">
        <f aca="false">IF(OR($B43="",$C43=""),"",MIN(Assumptions!$C$20,52/MAX($L43,Assumptions!$C$12)))</f>
        <v/>
      </c>
      <c r="N43" s="22" t="str">
        <f aca="false">IF(OR($B43="",$C43=""),"",SQRT(Assumptions!$C$24)*SQRT(2*$H43*(1-$H43)/($K43*4/Assumptions!$C$10))/$H43)</f>
        <v/>
      </c>
      <c r="O43" s="23" t="str">
        <f aca="false">IF(OR($B43="",$C43=""),"",IF(AND($L43&lt;=Assumptions!$C$16,$B43&gt;=Assumptions!$C$17),"Tier 1",IF(AND($L43&lt;=Assumptions!$C$18,$B43&gt;=Assumptions!$C$19),"Tier 2","Tier 3")))</f>
        <v/>
      </c>
      <c r="P43" s="24" t="str">
        <f aca="false">IF(OR($B43="",$C43=""),"",IF($O43="Tier 1","Pursue — offer trial; plan 2-week tests",IF($O43="Tier 2","Qualify — trial only on top-traffic pages, bold tests (≥10% lift)","Don't trial A/B — nurture or sell non-testing services")))</f>
        <v/>
      </c>
    </row>
    <row r="44" customFormat="false" ht="15" hidden="false" customHeight="false" outlineLevel="0" collapsed="false">
      <c r="A44" s="13"/>
      <c r="B44" s="14"/>
      <c r="C44" s="15"/>
      <c r="D44" s="14"/>
      <c r="E44" s="13"/>
      <c r="F44" s="16" t="str">
        <f aca="false">IF(OR($B44="",$C44=""),"",IF($D44="",Assumptions!$C$13,$D44))</f>
        <v/>
      </c>
      <c r="G44" s="17" t="str">
        <f aca="false">IF(OR($B44="",$C44=""),"",$B44*1000000/12/$C44)</f>
        <v/>
      </c>
      <c r="H44" s="18" t="str">
        <f aca="false">IF(OR($B44="",$C44=""),"",$G44/$F44)</f>
        <v/>
      </c>
      <c r="I44" s="19" t="str">
        <f aca="false">IF(OR($B44="",$C44=""),"",$C44*$H44)</f>
        <v/>
      </c>
      <c r="J44" s="19" t="str">
        <f aca="false">IF(OR($B44="",$C44=""),"",Assumptions!$C$24*($H44*(1-$H44)+$H44*(1+Assumptions!$C$9)*(1-$H44*(1+Assumptions!$C$9)))/($H44*Assumptions!$C$9)^2)</f>
        <v/>
      </c>
      <c r="K44" s="19" t="str">
        <f aca="false">IF(OR($B44="",$C44=""),"",$C44/Assumptions!$C$14*Assumptions!$C$11)</f>
        <v/>
      </c>
      <c r="L44" s="20" t="str">
        <f aca="false">IF(OR($B44="",$C44=""),"",$J44*Assumptions!$C$10/$K44)</f>
        <v/>
      </c>
      <c r="M44" s="21" t="str">
        <f aca="false">IF(OR($B44="",$C44=""),"",MIN(Assumptions!$C$20,52/MAX($L44,Assumptions!$C$12)))</f>
        <v/>
      </c>
      <c r="N44" s="22" t="str">
        <f aca="false">IF(OR($B44="",$C44=""),"",SQRT(Assumptions!$C$24)*SQRT(2*$H44*(1-$H44)/($K44*4/Assumptions!$C$10))/$H44)</f>
        <v/>
      </c>
      <c r="O44" s="23" t="str">
        <f aca="false">IF(OR($B44="",$C44=""),"",IF(AND($L44&lt;=Assumptions!$C$16,$B44&gt;=Assumptions!$C$17),"Tier 1",IF(AND($L44&lt;=Assumptions!$C$18,$B44&gt;=Assumptions!$C$19),"Tier 2","Tier 3")))</f>
        <v/>
      </c>
      <c r="P44" s="24" t="str">
        <f aca="false">IF(OR($B44="",$C44=""),"",IF($O44="Tier 1","Pursue — offer trial; plan 2-week tests",IF($O44="Tier 2","Qualify — trial only on top-traffic pages, bold tests (≥10% lift)","Don't trial A/B — nurture or sell non-testing services")))</f>
        <v/>
      </c>
    </row>
    <row r="45" customFormat="false" ht="15" hidden="false" customHeight="false" outlineLevel="0" collapsed="false">
      <c r="A45" s="13"/>
      <c r="B45" s="14"/>
      <c r="C45" s="15"/>
      <c r="D45" s="14"/>
      <c r="E45" s="13"/>
      <c r="F45" s="16" t="str">
        <f aca="false">IF(OR($B45="",$C45=""),"",IF($D45="",Assumptions!$C$13,$D45))</f>
        <v/>
      </c>
      <c r="G45" s="17" t="str">
        <f aca="false">IF(OR($B45="",$C45=""),"",$B45*1000000/12/$C45)</f>
        <v/>
      </c>
      <c r="H45" s="18" t="str">
        <f aca="false">IF(OR($B45="",$C45=""),"",$G45/$F45)</f>
        <v/>
      </c>
      <c r="I45" s="19" t="str">
        <f aca="false">IF(OR($B45="",$C45=""),"",$C45*$H45)</f>
        <v/>
      </c>
      <c r="J45" s="19" t="str">
        <f aca="false">IF(OR($B45="",$C45=""),"",Assumptions!$C$24*($H45*(1-$H45)+$H45*(1+Assumptions!$C$9)*(1-$H45*(1+Assumptions!$C$9)))/($H45*Assumptions!$C$9)^2)</f>
        <v/>
      </c>
      <c r="K45" s="19" t="str">
        <f aca="false">IF(OR($B45="",$C45=""),"",$C45/Assumptions!$C$14*Assumptions!$C$11)</f>
        <v/>
      </c>
      <c r="L45" s="20" t="str">
        <f aca="false">IF(OR($B45="",$C45=""),"",$J45*Assumptions!$C$10/$K45)</f>
        <v/>
      </c>
      <c r="M45" s="21" t="str">
        <f aca="false">IF(OR($B45="",$C45=""),"",MIN(Assumptions!$C$20,52/MAX($L45,Assumptions!$C$12)))</f>
        <v/>
      </c>
      <c r="N45" s="22" t="str">
        <f aca="false">IF(OR($B45="",$C45=""),"",SQRT(Assumptions!$C$24)*SQRT(2*$H45*(1-$H45)/($K45*4/Assumptions!$C$10))/$H45)</f>
        <v/>
      </c>
      <c r="O45" s="23" t="str">
        <f aca="false">IF(OR($B45="",$C45=""),"",IF(AND($L45&lt;=Assumptions!$C$16,$B45&gt;=Assumptions!$C$17),"Tier 1",IF(AND($L45&lt;=Assumptions!$C$18,$B45&gt;=Assumptions!$C$19),"Tier 2","Tier 3")))</f>
        <v/>
      </c>
      <c r="P45" s="24" t="str">
        <f aca="false">IF(OR($B45="",$C45=""),"",IF($O45="Tier 1","Pursue — offer trial; plan 2-week tests",IF($O45="Tier 2","Qualify — trial only on top-traffic pages, bold tests (≥10% lift)","Don't trial A/B — nurture or sell non-testing services")))</f>
        <v/>
      </c>
    </row>
    <row r="46" customFormat="false" ht="15" hidden="false" customHeight="false" outlineLevel="0" collapsed="false">
      <c r="A46" s="13"/>
      <c r="B46" s="14"/>
      <c r="C46" s="15"/>
      <c r="D46" s="14"/>
      <c r="E46" s="13"/>
      <c r="F46" s="16" t="str">
        <f aca="false">IF(OR($B46="",$C46=""),"",IF($D46="",Assumptions!$C$13,$D46))</f>
        <v/>
      </c>
      <c r="G46" s="17" t="str">
        <f aca="false">IF(OR($B46="",$C46=""),"",$B46*1000000/12/$C46)</f>
        <v/>
      </c>
      <c r="H46" s="18" t="str">
        <f aca="false">IF(OR($B46="",$C46=""),"",$G46/$F46)</f>
        <v/>
      </c>
      <c r="I46" s="19" t="str">
        <f aca="false">IF(OR($B46="",$C46=""),"",$C46*$H46)</f>
        <v/>
      </c>
      <c r="J46" s="19" t="str">
        <f aca="false">IF(OR($B46="",$C46=""),"",Assumptions!$C$24*($H46*(1-$H46)+$H46*(1+Assumptions!$C$9)*(1-$H46*(1+Assumptions!$C$9)))/($H46*Assumptions!$C$9)^2)</f>
        <v/>
      </c>
      <c r="K46" s="19" t="str">
        <f aca="false">IF(OR($B46="",$C46=""),"",$C46/Assumptions!$C$14*Assumptions!$C$11)</f>
        <v/>
      </c>
      <c r="L46" s="20" t="str">
        <f aca="false">IF(OR($B46="",$C46=""),"",$J46*Assumptions!$C$10/$K46)</f>
        <v/>
      </c>
      <c r="M46" s="21" t="str">
        <f aca="false">IF(OR($B46="",$C46=""),"",MIN(Assumptions!$C$20,52/MAX($L46,Assumptions!$C$12)))</f>
        <v/>
      </c>
      <c r="N46" s="22" t="str">
        <f aca="false">IF(OR($B46="",$C46=""),"",SQRT(Assumptions!$C$24)*SQRT(2*$H46*(1-$H46)/($K46*4/Assumptions!$C$10))/$H46)</f>
        <v/>
      </c>
      <c r="O46" s="23" t="str">
        <f aca="false">IF(OR($B46="",$C46=""),"",IF(AND($L46&lt;=Assumptions!$C$16,$B46&gt;=Assumptions!$C$17),"Tier 1",IF(AND($L46&lt;=Assumptions!$C$18,$B46&gt;=Assumptions!$C$19),"Tier 2","Tier 3")))</f>
        <v/>
      </c>
      <c r="P46" s="24" t="str">
        <f aca="false">IF(OR($B46="",$C46=""),"",IF($O46="Tier 1","Pursue — offer trial; plan 2-week tests",IF($O46="Tier 2","Qualify — trial only on top-traffic pages, bold tests (≥10% lift)","Don't trial A/B — nurture or sell non-testing services")))</f>
        <v/>
      </c>
    </row>
    <row r="47" customFormat="false" ht="15" hidden="false" customHeight="false" outlineLevel="0" collapsed="false">
      <c r="A47" s="13"/>
      <c r="B47" s="14"/>
      <c r="C47" s="15"/>
      <c r="D47" s="14"/>
      <c r="E47" s="13"/>
      <c r="F47" s="16" t="str">
        <f aca="false">IF(OR($B47="",$C47=""),"",IF($D47="",Assumptions!$C$13,$D47))</f>
        <v/>
      </c>
      <c r="G47" s="17" t="str">
        <f aca="false">IF(OR($B47="",$C47=""),"",$B47*1000000/12/$C47)</f>
        <v/>
      </c>
      <c r="H47" s="18" t="str">
        <f aca="false">IF(OR($B47="",$C47=""),"",$G47/$F47)</f>
        <v/>
      </c>
      <c r="I47" s="19" t="str">
        <f aca="false">IF(OR($B47="",$C47=""),"",$C47*$H47)</f>
        <v/>
      </c>
      <c r="J47" s="19" t="str">
        <f aca="false">IF(OR($B47="",$C47=""),"",Assumptions!$C$24*($H47*(1-$H47)+$H47*(1+Assumptions!$C$9)*(1-$H47*(1+Assumptions!$C$9)))/($H47*Assumptions!$C$9)^2)</f>
        <v/>
      </c>
      <c r="K47" s="19" t="str">
        <f aca="false">IF(OR($B47="",$C47=""),"",$C47/Assumptions!$C$14*Assumptions!$C$11)</f>
        <v/>
      </c>
      <c r="L47" s="20" t="str">
        <f aca="false">IF(OR($B47="",$C47=""),"",$J47*Assumptions!$C$10/$K47)</f>
        <v/>
      </c>
      <c r="M47" s="21" t="str">
        <f aca="false">IF(OR($B47="",$C47=""),"",MIN(Assumptions!$C$20,52/MAX($L47,Assumptions!$C$12)))</f>
        <v/>
      </c>
      <c r="N47" s="22" t="str">
        <f aca="false">IF(OR($B47="",$C47=""),"",SQRT(Assumptions!$C$24)*SQRT(2*$H47*(1-$H47)/($K47*4/Assumptions!$C$10))/$H47)</f>
        <v/>
      </c>
      <c r="O47" s="23" t="str">
        <f aca="false">IF(OR($B47="",$C47=""),"",IF(AND($L47&lt;=Assumptions!$C$16,$B47&gt;=Assumptions!$C$17),"Tier 1",IF(AND($L47&lt;=Assumptions!$C$18,$B47&gt;=Assumptions!$C$19),"Tier 2","Tier 3")))</f>
        <v/>
      </c>
      <c r="P47" s="24" t="str">
        <f aca="false">IF(OR($B47="",$C47=""),"",IF($O47="Tier 1","Pursue — offer trial; plan 2-week tests",IF($O47="Tier 2","Qualify — trial only on top-traffic pages, bold tests (≥10% lift)","Don't trial A/B — nurture or sell non-testing services")))</f>
        <v/>
      </c>
    </row>
    <row r="48" customFormat="false" ht="15" hidden="false" customHeight="false" outlineLevel="0" collapsed="false">
      <c r="A48" s="13"/>
      <c r="B48" s="14"/>
      <c r="C48" s="15"/>
      <c r="D48" s="14"/>
      <c r="E48" s="13"/>
      <c r="F48" s="16" t="str">
        <f aca="false">IF(OR($B48="",$C48=""),"",IF($D48="",Assumptions!$C$13,$D48))</f>
        <v/>
      </c>
      <c r="G48" s="17" t="str">
        <f aca="false">IF(OR($B48="",$C48=""),"",$B48*1000000/12/$C48)</f>
        <v/>
      </c>
      <c r="H48" s="18" t="str">
        <f aca="false">IF(OR($B48="",$C48=""),"",$G48/$F48)</f>
        <v/>
      </c>
      <c r="I48" s="19" t="str">
        <f aca="false">IF(OR($B48="",$C48=""),"",$C48*$H48)</f>
        <v/>
      </c>
      <c r="J48" s="19" t="str">
        <f aca="false">IF(OR($B48="",$C48=""),"",Assumptions!$C$24*($H48*(1-$H48)+$H48*(1+Assumptions!$C$9)*(1-$H48*(1+Assumptions!$C$9)))/($H48*Assumptions!$C$9)^2)</f>
        <v/>
      </c>
      <c r="K48" s="19" t="str">
        <f aca="false">IF(OR($B48="",$C48=""),"",$C48/Assumptions!$C$14*Assumptions!$C$11)</f>
        <v/>
      </c>
      <c r="L48" s="20" t="str">
        <f aca="false">IF(OR($B48="",$C48=""),"",$J48*Assumptions!$C$10/$K48)</f>
        <v/>
      </c>
      <c r="M48" s="21" t="str">
        <f aca="false">IF(OR($B48="",$C48=""),"",MIN(Assumptions!$C$20,52/MAX($L48,Assumptions!$C$12)))</f>
        <v/>
      </c>
      <c r="N48" s="22" t="str">
        <f aca="false">IF(OR($B48="",$C48=""),"",SQRT(Assumptions!$C$24)*SQRT(2*$H48*(1-$H48)/($K48*4/Assumptions!$C$10))/$H48)</f>
        <v/>
      </c>
      <c r="O48" s="23" t="str">
        <f aca="false">IF(OR($B48="",$C48=""),"",IF(AND($L48&lt;=Assumptions!$C$16,$B48&gt;=Assumptions!$C$17),"Tier 1",IF(AND($L48&lt;=Assumptions!$C$18,$B48&gt;=Assumptions!$C$19),"Tier 2","Tier 3")))</f>
        <v/>
      </c>
      <c r="P48" s="24" t="str">
        <f aca="false">IF(OR($B48="",$C48=""),"",IF($O48="Tier 1","Pursue — offer trial; plan 2-week tests",IF($O48="Tier 2","Qualify — trial only on top-traffic pages, bold tests (≥10% lift)","Don't trial A/B — nurture or sell non-testing services")))</f>
        <v/>
      </c>
    </row>
    <row r="49" customFormat="false" ht="15" hidden="false" customHeight="false" outlineLevel="0" collapsed="false">
      <c r="A49" s="13"/>
      <c r="B49" s="14"/>
      <c r="C49" s="15"/>
      <c r="D49" s="14"/>
      <c r="E49" s="13"/>
      <c r="F49" s="16" t="str">
        <f aca="false">IF(OR($B49="",$C49=""),"",IF($D49="",Assumptions!$C$13,$D49))</f>
        <v/>
      </c>
      <c r="G49" s="17" t="str">
        <f aca="false">IF(OR($B49="",$C49=""),"",$B49*1000000/12/$C49)</f>
        <v/>
      </c>
      <c r="H49" s="18" t="str">
        <f aca="false">IF(OR($B49="",$C49=""),"",$G49/$F49)</f>
        <v/>
      </c>
      <c r="I49" s="19" t="str">
        <f aca="false">IF(OR($B49="",$C49=""),"",$C49*$H49)</f>
        <v/>
      </c>
      <c r="J49" s="19" t="str">
        <f aca="false">IF(OR($B49="",$C49=""),"",Assumptions!$C$24*($H49*(1-$H49)+$H49*(1+Assumptions!$C$9)*(1-$H49*(1+Assumptions!$C$9)))/($H49*Assumptions!$C$9)^2)</f>
        <v/>
      </c>
      <c r="K49" s="19" t="str">
        <f aca="false">IF(OR($B49="",$C49=""),"",$C49/Assumptions!$C$14*Assumptions!$C$11)</f>
        <v/>
      </c>
      <c r="L49" s="20" t="str">
        <f aca="false">IF(OR($B49="",$C49=""),"",$J49*Assumptions!$C$10/$K49)</f>
        <v/>
      </c>
      <c r="M49" s="21" t="str">
        <f aca="false">IF(OR($B49="",$C49=""),"",MIN(Assumptions!$C$20,52/MAX($L49,Assumptions!$C$12)))</f>
        <v/>
      </c>
      <c r="N49" s="22" t="str">
        <f aca="false">IF(OR($B49="",$C49=""),"",SQRT(Assumptions!$C$24)*SQRT(2*$H49*(1-$H49)/($K49*4/Assumptions!$C$10))/$H49)</f>
        <v/>
      </c>
      <c r="O49" s="23" t="str">
        <f aca="false">IF(OR($B49="",$C49=""),"",IF(AND($L49&lt;=Assumptions!$C$16,$B49&gt;=Assumptions!$C$17),"Tier 1",IF(AND($L49&lt;=Assumptions!$C$18,$B49&gt;=Assumptions!$C$19),"Tier 2","Tier 3")))</f>
        <v/>
      </c>
      <c r="P49" s="24" t="str">
        <f aca="false">IF(OR($B49="",$C49=""),"",IF($O49="Tier 1","Pursue — offer trial; plan 2-week tests",IF($O49="Tier 2","Qualify — trial only on top-traffic pages, bold tests (≥10% lift)","Don't trial A/B — nurture or sell non-testing services")))</f>
        <v/>
      </c>
    </row>
    <row r="50" customFormat="false" ht="15" hidden="false" customHeight="false" outlineLevel="0" collapsed="false">
      <c r="A50" s="13"/>
      <c r="B50" s="14"/>
      <c r="C50" s="15"/>
      <c r="D50" s="14"/>
      <c r="E50" s="13"/>
      <c r="F50" s="16" t="str">
        <f aca="false">IF(OR($B50="",$C50=""),"",IF($D50="",Assumptions!$C$13,$D50))</f>
        <v/>
      </c>
      <c r="G50" s="17" t="str">
        <f aca="false">IF(OR($B50="",$C50=""),"",$B50*1000000/12/$C50)</f>
        <v/>
      </c>
      <c r="H50" s="18" t="str">
        <f aca="false">IF(OR($B50="",$C50=""),"",$G50/$F50)</f>
        <v/>
      </c>
      <c r="I50" s="19" t="str">
        <f aca="false">IF(OR($B50="",$C50=""),"",$C50*$H50)</f>
        <v/>
      </c>
      <c r="J50" s="19" t="str">
        <f aca="false">IF(OR($B50="",$C50=""),"",Assumptions!$C$24*($H50*(1-$H50)+$H50*(1+Assumptions!$C$9)*(1-$H50*(1+Assumptions!$C$9)))/($H50*Assumptions!$C$9)^2)</f>
        <v/>
      </c>
      <c r="K50" s="19" t="str">
        <f aca="false">IF(OR($B50="",$C50=""),"",$C50/Assumptions!$C$14*Assumptions!$C$11)</f>
        <v/>
      </c>
      <c r="L50" s="20" t="str">
        <f aca="false">IF(OR($B50="",$C50=""),"",$J50*Assumptions!$C$10/$K50)</f>
        <v/>
      </c>
      <c r="M50" s="21" t="str">
        <f aca="false">IF(OR($B50="",$C50=""),"",MIN(Assumptions!$C$20,52/MAX($L50,Assumptions!$C$12)))</f>
        <v/>
      </c>
      <c r="N50" s="22" t="str">
        <f aca="false">IF(OR($B50="",$C50=""),"",SQRT(Assumptions!$C$24)*SQRT(2*$H50*(1-$H50)/($K50*4/Assumptions!$C$10))/$H50)</f>
        <v/>
      </c>
      <c r="O50" s="23" t="str">
        <f aca="false">IF(OR($B50="",$C50=""),"",IF(AND($L50&lt;=Assumptions!$C$16,$B50&gt;=Assumptions!$C$17),"Tier 1",IF(AND($L50&lt;=Assumptions!$C$18,$B50&gt;=Assumptions!$C$19),"Tier 2","Tier 3")))</f>
        <v/>
      </c>
      <c r="P50" s="24" t="str">
        <f aca="false">IF(OR($B50="",$C50=""),"",IF($O50="Tier 1","Pursue — offer trial; plan 2-week tests",IF($O50="Tier 2","Qualify — trial only on top-traffic pages, bold tests (≥10% lift)","Don't trial A/B — nurture or sell non-testing services")))</f>
        <v/>
      </c>
    </row>
    <row r="51" customFormat="false" ht="15" hidden="false" customHeight="false" outlineLevel="0" collapsed="false">
      <c r="A51" s="13"/>
      <c r="B51" s="14"/>
      <c r="C51" s="15"/>
      <c r="D51" s="14"/>
      <c r="E51" s="13"/>
      <c r="F51" s="16" t="str">
        <f aca="false">IF(OR($B51="",$C51=""),"",IF($D51="",Assumptions!$C$13,$D51))</f>
        <v/>
      </c>
      <c r="G51" s="17" t="str">
        <f aca="false">IF(OR($B51="",$C51=""),"",$B51*1000000/12/$C51)</f>
        <v/>
      </c>
      <c r="H51" s="18" t="str">
        <f aca="false">IF(OR($B51="",$C51=""),"",$G51/$F51)</f>
        <v/>
      </c>
      <c r="I51" s="19" t="str">
        <f aca="false">IF(OR($B51="",$C51=""),"",$C51*$H51)</f>
        <v/>
      </c>
      <c r="J51" s="19" t="str">
        <f aca="false">IF(OR($B51="",$C51=""),"",Assumptions!$C$24*($H51*(1-$H51)+$H51*(1+Assumptions!$C$9)*(1-$H51*(1+Assumptions!$C$9)))/($H51*Assumptions!$C$9)^2)</f>
        <v/>
      </c>
      <c r="K51" s="19" t="str">
        <f aca="false">IF(OR($B51="",$C51=""),"",$C51/Assumptions!$C$14*Assumptions!$C$11)</f>
        <v/>
      </c>
      <c r="L51" s="20" t="str">
        <f aca="false">IF(OR($B51="",$C51=""),"",$J51*Assumptions!$C$10/$K51)</f>
        <v/>
      </c>
      <c r="M51" s="21" t="str">
        <f aca="false">IF(OR($B51="",$C51=""),"",MIN(Assumptions!$C$20,52/MAX($L51,Assumptions!$C$12)))</f>
        <v/>
      </c>
      <c r="N51" s="22" t="str">
        <f aca="false">IF(OR($B51="",$C51=""),"",SQRT(Assumptions!$C$24)*SQRT(2*$H51*(1-$H51)/($K51*4/Assumptions!$C$10))/$H51)</f>
        <v/>
      </c>
      <c r="O51" s="23" t="str">
        <f aca="false">IF(OR($B51="",$C51=""),"",IF(AND($L51&lt;=Assumptions!$C$16,$B51&gt;=Assumptions!$C$17),"Tier 1",IF(AND($L51&lt;=Assumptions!$C$18,$B51&gt;=Assumptions!$C$19),"Tier 2","Tier 3")))</f>
        <v/>
      </c>
      <c r="P51" s="24" t="str">
        <f aca="false">IF(OR($B51="",$C51=""),"",IF($O51="Tier 1","Pursue — offer trial; plan 2-week tests",IF($O51="Tier 2","Qualify — trial only on top-traffic pages, bold tests (≥10% lift)","Don't trial A/B — nurture or sell non-testing services")))</f>
        <v/>
      </c>
    </row>
    <row r="52" customFormat="false" ht="15" hidden="false" customHeight="false" outlineLevel="0" collapsed="false">
      <c r="A52" s="13"/>
      <c r="B52" s="14"/>
      <c r="C52" s="15"/>
      <c r="D52" s="14"/>
      <c r="E52" s="13"/>
      <c r="F52" s="16" t="str">
        <f aca="false">IF(OR($B52="",$C52=""),"",IF($D52="",Assumptions!$C$13,$D52))</f>
        <v/>
      </c>
      <c r="G52" s="17" t="str">
        <f aca="false">IF(OR($B52="",$C52=""),"",$B52*1000000/12/$C52)</f>
        <v/>
      </c>
      <c r="H52" s="18" t="str">
        <f aca="false">IF(OR($B52="",$C52=""),"",$G52/$F52)</f>
        <v/>
      </c>
      <c r="I52" s="19" t="str">
        <f aca="false">IF(OR($B52="",$C52=""),"",$C52*$H52)</f>
        <v/>
      </c>
      <c r="J52" s="19" t="str">
        <f aca="false">IF(OR($B52="",$C52=""),"",Assumptions!$C$24*($H52*(1-$H52)+$H52*(1+Assumptions!$C$9)*(1-$H52*(1+Assumptions!$C$9)))/($H52*Assumptions!$C$9)^2)</f>
        <v/>
      </c>
      <c r="K52" s="19" t="str">
        <f aca="false">IF(OR($B52="",$C52=""),"",$C52/Assumptions!$C$14*Assumptions!$C$11)</f>
        <v/>
      </c>
      <c r="L52" s="20" t="str">
        <f aca="false">IF(OR($B52="",$C52=""),"",$J52*Assumptions!$C$10/$K52)</f>
        <v/>
      </c>
      <c r="M52" s="21" t="str">
        <f aca="false">IF(OR($B52="",$C52=""),"",MIN(Assumptions!$C$20,52/MAX($L52,Assumptions!$C$12)))</f>
        <v/>
      </c>
      <c r="N52" s="22" t="str">
        <f aca="false">IF(OR($B52="",$C52=""),"",SQRT(Assumptions!$C$24)*SQRT(2*$H52*(1-$H52)/($K52*4/Assumptions!$C$10))/$H52)</f>
        <v/>
      </c>
      <c r="O52" s="23" t="str">
        <f aca="false">IF(OR($B52="",$C52=""),"",IF(AND($L52&lt;=Assumptions!$C$16,$B52&gt;=Assumptions!$C$17),"Tier 1",IF(AND($L52&lt;=Assumptions!$C$18,$B52&gt;=Assumptions!$C$19),"Tier 2","Tier 3")))</f>
        <v/>
      </c>
      <c r="P52" s="24" t="str">
        <f aca="false">IF(OR($B52="",$C52=""),"",IF($O52="Tier 1","Pursue — offer trial; plan 2-week tests",IF($O52="Tier 2","Qualify — trial only on top-traffic pages, bold tests (≥10% lift)","Don't trial A/B — nurture or sell non-testing services")))</f>
        <v/>
      </c>
    </row>
    <row r="53" customFormat="false" ht="15" hidden="false" customHeight="false" outlineLevel="0" collapsed="false">
      <c r="A53" s="13"/>
      <c r="B53" s="14"/>
      <c r="C53" s="15"/>
      <c r="D53" s="14"/>
      <c r="E53" s="13"/>
      <c r="F53" s="16" t="str">
        <f aca="false">IF(OR($B53="",$C53=""),"",IF($D53="",Assumptions!$C$13,$D53))</f>
        <v/>
      </c>
      <c r="G53" s="17" t="str">
        <f aca="false">IF(OR($B53="",$C53=""),"",$B53*1000000/12/$C53)</f>
        <v/>
      </c>
      <c r="H53" s="18" t="str">
        <f aca="false">IF(OR($B53="",$C53=""),"",$G53/$F53)</f>
        <v/>
      </c>
      <c r="I53" s="19" t="str">
        <f aca="false">IF(OR($B53="",$C53=""),"",$C53*$H53)</f>
        <v/>
      </c>
      <c r="J53" s="19" t="str">
        <f aca="false">IF(OR($B53="",$C53=""),"",Assumptions!$C$24*($H53*(1-$H53)+$H53*(1+Assumptions!$C$9)*(1-$H53*(1+Assumptions!$C$9)))/($H53*Assumptions!$C$9)^2)</f>
        <v/>
      </c>
      <c r="K53" s="19" t="str">
        <f aca="false">IF(OR($B53="",$C53=""),"",$C53/Assumptions!$C$14*Assumptions!$C$11)</f>
        <v/>
      </c>
      <c r="L53" s="20" t="str">
        <f aca="false">IF(OR($B53="",$C53=""),"",$J53*Assumptions!$C$10/$K53)</f>
        <v/>
      </c>
      <c r="M53" s="21" t="str">
        <f aca="false">IF(OR($B53="",$C53=""),"",MIN(Assumptions!$C$20,52/MAX($L53,Assumptions!$C$12)))</f>
        <v/>
      </c>
      <c r="N53" s="22" t="str">
        <f aca="false">IF(OR($B53="",$C53=""),"",SQRT(Assumptions!$C$24)*SQRT(2*$H53*(1-$H53)/($K53*4/Assumptions!$C$10))/$H53)</f>
        <v/>
      </c>
      <c r="O53" s="23" t="str">
        <f aca="false">IF(OR($B53="",$C53=""),"",IF(AND($L53&lt;=Assumptions!$C$16,$B53&gt;=Assumptions!$C$17),"Tier 1",IF(AND($L53&lt;=Assumptions!$C$18,$B53&gt;=Assumptions!$C$19),"Tier 2","Tier 3")))</f>
        <v/>
      </c>
      <c r="P53" s="24" t="str">
        <f aca="false">IF(OR($B53="",$C53=""),"",IF($O53="Tier 1","Pursue — offer trial; plan 2-week tests",IF($O53="Tier 2","Qualify — trial only on top-traffic pages, bold tests (≥10% lift)","Don't trial A/B — nurture or sell non-testing services")))</f>
        <v/>
      </c>
    </row>
    <row r="54" customFormat="false" ht="15" hidden="false" customHeight="false" outlineLevel="0" collapsed="false">
      <c r="A54" s="13"/>
      <c r="B54" s="14"/>
      <c r="C54" s="15"/>
      <c r="D54" s="14"/>
      <c r="E54" s="13"/>
      <c r="F54" s="16" t="str">
        <f aca="false">IF(OR($B54="",$C54=""),"",IF($D54="",Assumptions!$C$13,$D54))</f>
        <v/>
      </c>
      <c r="G54" s="17" t="str">
        <f aca="false">IF(OR($B54="",$C54=""),"",$B54*1000000/12/$C54)</f>
        <v/>
      </c>
      <c r="H54" s="18" t="str">
        <f aca="false">IF(OR($B54="",$C54=""),"",$G54/$F54)</f>
        <v/>
      </c>
      <c r="I54" s="19" t="str">
        <f aca="false">IF(OR($B54="",$C54=""),"",$C54*$H54)</f>
        <v/>
      </c>
      <c r="J54" s="19" t="str">
        <f aca="false">IF(OR($B54="",$C54=""),"",Assumptions!$C$24*($H54*(1-$H54)+$H54*(1+Assumptions!$C$9)*(1-$H54*(1+Assumptions!$C$9)))/($H54*Assumptions!$C$9)^2)</f>
        <v/>
      </c>
      <c r="K54" s="19" t="str">
        <f aca="false">IF(OR($B54="",$C54=""),"",$C54/Assumptions!$C$14*Assumptions!$C$11)</f>
        <v/>
      </c>
      <c r="L54" s="20" t="str">
        <f aca="false">IF(OR($B54="",$C54=""),"",$J54*Assumptions!$C$10/$K54)</f>
        <v/>
      </c>
      <c r="M54" s="21" t="str">
        <f aca="false">IF(OR($B54="",$C54=""),"",MIN(Assumptions!$C$20,52/MAX($L54,Assumptions!$C$12)))</f>
        <v/>
      </c>
      <c r="N54" s="22" t="str">
        <f aca="false">IF(OR($B54="",$C54=""),"",SQRT(Assumptions!$C$24)*SQRT(2*$H54*(1-$H54)/($K54*4/Assumptions!$C$10))/$H54)</f>
        <v/>
      </c>
      <c r="O54" s="23" t="str">
        <f aca="false">IF(OR($B54="",$C54=""),"",IF(AND($L54&lt;=Assumptions!$C$16,$B54&gt;=Assumptions!$C$17),"Tier 1",IF(AND($L54&lt;=Assumptions!$C$18,$B54&gt;=Assumptions!$C$19),"Tier 2","Tier 3")))</f>
        <v/>
      </c>
      <c r="P54" s="24" t="str">
        <f aca="false">IF(OR($B54="",$C54=""),"",IF($O54="Tier 1","Pursue — offer trial; plan 2-week tests",IF($O54="Tier 2","Qualify — trial only on top-traffic pages, bold tests (≥10% lift)","Don't trial A/B — nurture or sell non-testing services")))</f>
        <v/>
      </c>
    </row>
    <row r="55" customFormat="false" ht="15" hidden="false" customHeight="false" outlineLevel="0" collapsed="false">
      <c r="A55" s="13"/>
      <c r="B55" s="14"/>
      <c r="C55" s="15"/>
      <c r="D55" s="14"/>
      <c r="E55" s="13"/>
      <c r="F55" s="16" t="str">
        <f aca="false">IF(OR($B55="",$C55=""),"",IF($D55="",Assumptions!$C$13,$D55))</f>
        <v/>
      </c>
      <c r="G55" s="17" t="str">
        <f aca="false">IF(OR($B55="",$C55=""),"",$B55*1000000/12/$C55)</f>
        <v/>
      </c>
      <c r="H55" s="18" t="str">
        <f aca="false">IF(OR($B55="",$C55=""),"",$G55/$F55)</f>
        <v/>
      </c>
      <c r="I55" s="19" t="str">
        <f aca="false">IF(OR($B55="",$C55=""),"",$C55*$H55)</f>
        <v/>
      </c>
      <c r="J55" s="19" t="str">
        <f aca="false">IF(OR($B55="",$C55=""),"",Assumptions!$C$24*($H55*(1-$H55)+$H55*(1+Assumptions!$C$9)*(1-$H55*(1+Assumptions!$C$9)))/($H55*Assumptions!$C$9)^2)</f>
        <v/>
      </c>
      <c r="K55" s="19" t="str">
        <f aca="false">IF(OR($B55="",$C55=""),"",$C55/Assumptions!$C$14*Assumptions!$C$11)</f>
        <v/>
      </c>
      <c r="L55" s="20" t="str">
        <f aca="false">IF(OR($B55="",$C55=""),"",$J55*Assumptions!$C$10/$K55)</f>
        <v/>
      </c>
      <c r="M55" s="21" t="str">
        <f aca="false">IF(OR($B55="",$C55=""),"",MIN(Assumptions!$C$20,52/MAX($L55,Assumptions!$C$12)))</f>
        <v/>
      </c>
      <c r="N55" s="22" t="str">
        <f aca="false">IF(OR($B55="",$C55=""),"",SQRT(Assumptions!$C$24)*SQRT(2*$H55*(1-$H55)/($K55*4/Assumptions!$C$10))/$H55)</f>
        <v/>
      </c>
      <c r="O55" s="23" t="str">
        <f aca="false">IF(OR($B55="",$C55=""),"",IF(AND($L55&lt;=Assumptions!$C$16,$B55&gt;=Assumptions!$C$17),"Tier 1",IF(AND($L55&lt;=Assumptions!$C$18,$B55&gt;=Assumptions!$C$19),"Tier 2","Tier 3")))</f>
        <v/>
      </c>
      <c r="P55" s="24" t="str">
        <f aca="false">IF(OR($B55="",$C55=""),"",IF($O55="Tier 1","Pursue — offer trial; plan 2-week tests",IF($O55="Tier 2","Qualify — trial only on top-traffic pages, bold tests (≥10% lift)","Don't trial A/B — nurture or sell non-testing services")))</f>
        <v/>
      </c>
    </row>
    <row r="56" customFormat="false" ht="15" hidden="false" customHeight="false" outlineLevel="0" collapsed="false">
      <c r="A56" s="13"/>
      <c r="B56" s="14"/>
      <c r="C56" s="15"/>
      <c r="D56" s="14"/>
      <c r="E56" s="13"/>
      <c r="F56" s="16" t="str">
        <f aca="false">IF(OR($B56="",$C56=""),"",IF($D56="",Assumptions!$C$13,$D56))</f>
        <v/>
      </c>
      <c r="G56" s="17" t="str">
        <f aca="false">IF(OR($B56="",$C56=""),"",$B56*1000000/12/$C56)</f>
        <v/>
      </c>
      <c r="H56" s="18" t="str">
        <f aca="false">IF(OR($B56="",$C56=""),"",$G56/$F56)</f>
        <v/>
      </c>
      <c r="I56" s="19" t="str">
        <f aca="false">IF(OR($B56="",$C56=""),"",$C56*$H56)</f>
        <v/>
      </c>
      <c r="J56" s="19" t="str">
        <f aca="false">IF(OR($B56="",$C56=""),"",Assumptions!$C$24*($H56*(1-$H56)+$H56*(1+Assumptions!$C$9)*(1-$H56*(1+Assumptions!$C$9)))/($H56*Assumptions!$C$9)^2)</f>
        <v/>
      </c>
      <c r="K56" s="19" t="str">
        <f aca="false">IF(OR($B56="",$C56=""),"",$C56/Assumptions!$C$14*Assumptions!$C$11)</f>
        <v/>
      </c>
      <c r="L56" s="20" t="str">
        <f aca="false">IF(OR($B56="",$C56=""),"",$J56*Assumptions!$C$10/$K56)</f>
        <v/>
      </c>
      <c r="M56" s="21" t="str">
        <f aca="false">IF(OR($B56="",$C56=""),"",MIN(Assumptions!$C$20,52/MAX($L56,Assumptions!$C$12)))</f>
        <v/>
      </c>
      <c r="N56" s="22" t="str">
        <f aca="false">IF(OR($B56="",$C56=""),"",SQRT(Assumptions!$C$24)*SQRT(2*$H56*(1-$H56)/($K56*4/Assumptions!$C$10))/$H56)</f>
        <v/>
      </c>
      <c r="O56" s="23" t="str">
        <f aca="false">IF(OR($B56="",$C56=""),"",IF(AND($L56&lt;=Assumptions!$C$16,$B56&gt;=Assumptions!$C$17),"Tier 1",IF(AND($L56&lt;=Assumptions!$C$18,$B56&gt;=Assumptions!$C$19),"Tier 2","Tier 3")))</f>
        <v/>
      </c>
      <c r="P56" s="24" t="str">
        <f aca="false">IF(OR($B56="",$C56=""),"",IF($O56="Tier 1","Pursue — offer trial; plan 2-week tests",IF($O56="Tier 2","Qualify — trial only on top-traffic pages, bold tests (≥10% lift)","Don't trial A/B — nurture or sell non-testing services")))</f>
        <v/>
      </c>
    </row>
    <row r="57" customFormat="false" ht="15" hidden="false" customHeight="false" outlineLevel="0" collapsed="false">
      <c r="A57" s="13"/>
      <c r="B57" s="14"/>
      <c r="C57" s="15"/>
      <c r="D57" s="14"/>
      <c r="E57" s="13"/>
      <c r="F57" s="16" t="str">
        <f aca="false">IF(OR($B57="",$C57=""),"",IF($D57="",Assumptions!$C$13,$D57))</f>
        <v/>
      </c>
      <c r="G57" s="17" t="str">
        <f aca="false">IF(OR($B57="",$C57=""),"",$B57*1000000/12/$C57)</f>
        <v/>
      </c>
      <c r="H57" s="18" t="str">
        <f aca="false">IF(OR($B57="",$C57=""),"",$G57/$F57)</f>
        <v/>
      </c>
      <c r="I57" s="19" t="str">
        <f aca="false">IF(OR($B57="",$C57=""),"",$C57*$H57)</f>
        <v/>
      </c>
      <c r="J57" s="19" t="str">
        <f aca="false">IF(OR($B57="",$C57=""),"",Assumptions!$C$24*($H57*(1-$H57)+$H57*(1+Assumptions!$C$9)*(1-$H57*(1+Assumptions!$C$9)))/($H57*Assumptions!$C$9)^2)</f>
        <v/>
      </c>
      <c r="K57" s="19" t="str">
        <f aca="false">IF(OR($B57="",$C57=""),"",$C57/Assumptions!$C$14*Assumptions!$C$11)</f>
        <v/>
      </c>
      <c r="L57" s="20" t="str">
        <f aca="false">IF(OR($B57="",$C57=""),"",$J57*Assumptions!$C$10/$K57)</f>
        <v/>
      </c>
      <c r="M57" s="21" t="str">
        <f aca="false">IF(OR($B57="",$C57=""),"",MIN(Assumptions!$C$20,52/MAX($L57,Assumptions!$C$12)))</f>
        <v/>
      </c>
      <c r="N57" s="22" t="str">
        <f aca="false">IF(OR($B57="",$C57=""),"",SQRT(Assumptions!$C$24)*SQRT(2*$H57*(1-$H57)/($K57*4/Assumptions!$C$10))/$H57)</f>
        <v/>
      </c>
      <c r="O57" s="23" t="str">
        <f aca="false">IF(OR($B57="",$C57=""),"",IF(AND($L57&lt;=Assumptions!$C$16,$B57&gt;=Assumptions!$C$17),"Tier 1",IF(AND($L57&lt;=Assumptions!$C$18,$B57&gt;=Assumptions!$C$19),"Tier 2","Tier 3")))</f>
        <v/>
      </c>
      <c r="P57" s="24" t="str">
        <f aca="false">IF(OR($B57="",$C57=""),"",IF($O57="Tier 1","Pursue — offer trial; plan 2-week tests",IF($O57="Tier 2","Qualify — trial only on top-traffic pages, bold tests (≥10% lift)","Don't trial A/B — nurture or sell non-testing services")))</f>
        <v/>
      </c>
    </row>
    <row r="58" customFormat="false" ht="15" hidden="false" customHeight="false" outlineLevel="0" collapsed="false">
      <c r="A58" s="13"/>
      <c r="B58" s="14"/>
      <c r="C58" s="15"/>
      <c r="D58" s="14"/>
      <c r="E58" s="13"/>
      <c r="F58" s="16" t="str">
        <f aca="false">IF(OR($B58="",$C58=""),"",IF($D58="",Assumptions!$C$13,$D58))</f>
        <v/>
      </c>
      <c r="G58" s="17" t="str">
        <f aca="false">IF(OR($B58="",$C58=""),"",$B58*1000000/12/$C58)</f>
        <v/>
      </c>
      <c r="H58" s="18" t="str">
        <f aca="false">IF(OR($B58="",$C58=""),"",$G58/$F58)</f>
        <v/>
      </c>
      <c r="I58" s="19" t="str">
        <f aca="false">IF(OR($B58="",$C58=""),"",$C58*$H58)</f>
        <v/>
      </c>
      <c r="J58" s="19" t="str">
        <f aca="false">IF(OR($B58="",$C58=""),"",Assumptions!$C$24*($H58*(1-$H58)+$H58*(1+Assumptions!$C$9)*(1-$H58*(1+Assumptions!$C$9)))/($H58*Assumptions!$C$9)^2)</f>
        <v/>
      </c>
      <c r="K58" s="19" t="str">
        <f aca="false">IF(OR($B58="",$C58=""),"",$C58/Assumptions!$C$14*Assumptions!$C$11)</f>
        <v/>
      </c>
      <c r="L58" s="20" t="str">
        <f aca="false">IF(OR($B58="",$C58=""),"",$J58*Assumptions!$C$10/$K58)</f>
        <v/>
      </c>
      <c r="M58" s="21" t="str">
        <f aca="false">IF(OR($B58="",$C58=""),"",MIN(Assumptions!$C$20,52/MAX($L58,Assumptions!$C$12)))</f>
        <v/>
      </c>
      <c r="N58" s="22" t="str">
        <f aca="false">IF(OR($B58="",$C58=""),"",SQRT(Assumptions!$C$24)*SQRT(2*$H58*(1-$H58)/($K58*4/Assumptions!$C$10))/$H58)</f>
        <v/>
      </c>
      <c r="O58" s="23" t="str">
        <f aca="false">IF(OR($B58="",$C58=""),"",IF(AND($L58&lt;=Assumptions!$C$16,$B58&gt;=Assumptions!$C$17),"Tier 1",IF(AND($L58&lt;=Assumptions!$C$18,$B58&gt;=Assumptions!$C$19),"Tier 2","Tier 3")))</f>
        <v/>
      </c>
      <c r="P58" s="24" t="str">
        <f aca="false">IF(OR($B58="",$C58=""),"",IF($O58="Tier 1","Pursue — offer trial; plan 2-week tests",IF($O58="Tier 2","Qualify — trial only on top-traffic pages, bold tests (≥10% lift)","Don't trial A/B — nurture or sell non-testing services")))</f>
        <v/>
      </c>
    </row>
    <row r="59" customFormat="false" ht="15" hidden="false" customHeight="false" outlineLevel="0" collapsed="false">
      <c r="A59" s="13"/>
      <c r="B59" s="14"/>
      <c r="C59" s="15"/>
      <c r="D59" s="14"/>
      <c r="E59" s="13"/>
      <c r="F59" s="16" t="str">
        <f aca="false">IF(OR($B59="",$C59=""),"",IF($D59="",Assumptions!$C$13,$D59))</f>
        <v/>
      </c>
      <c r="G59" s="17" t="str">
        <f aca="false">IF(OR($B59="",$C59=""),"",$B59*1000000/12/$C59)</f>
        <v/>
      </c>
      <c r="H59" s="18" t="str">
        <f aca="false">IF(OR($B59="",$C59=""),"",$G59/$F59)</f>
        <v/>
      </c>
      <c r="I59" s="19" t="str">
        <f aca="false">IF(OR($B59="",$C59=""),"",$C59*$H59)</f>
        <v/>
      </c>
      <c r="J59" s="19" t="str">
        <f aca="false">IF(OR($B59="",$C59=""),"",Assumptions!$C$24*($H59*(1-$H59)+$H59*(1+Assumptions!$C$9)*(1-$H59*(1+Assumptions!$C$9)))/($H59*Assumptions!$C$9)^2)</f>
        <v/>
      </c>
      <c r="K59" s="19" t="str">
        <f aca="false">IF(OR($B59="",$C59=""),"",$C59/Assumptions!$C$14*Assumptions!$C$11)</f>
        <v/>
      </c>
      <c r="L59" s="20" t="str">
        <f aca="false">IF(OR($B59="",$C59=""),"",$J59*Assumptions!$C$10/$K59)</f>
        <v/>
      </c>
      <c r="M59" s="21" t="str">
        <f aca="false">IF(OR($B59="",$C59=""),"",MIN(Assumptions!$C$20,52/MAX($L59,Assumptions!$C$12)))</f>
        <v/>
      </c>
      <c r="N59" s="22" t="str">
        <f aca="false">IF(OR($B59="",$C59=""),"",SQRT(Assumptions!$C$24)*SQRT(2*$H59*(1-$H59)/($K59*4/Assumptions!$C$10))/$H59)</f>
        <v/>
      </c>
      <c r="O59" s="23" t="str">
        <f aca="false">IF(OR($B59="",$C59=""),"",IF(AND($L59&lt;=Assumptions!$C$16,$B59&gt;=Assumptions!$C$17),"Tier 1",IF(AND($L59&lt;=Assumptions!$C$18,$B59&gt;=Assumptions!$C$19),"Tier 2","Tier 3")))</f>
        <v/>
      </c>
      <c r="P59" s="24" t="str">
        <f aca="false">IF(OR($B59="",$C59=""),"",IF($O59="Tier 1","Pursue — offer trial; plan 2-week tests",IF($O59="Tier 2","Qualify — trial only on top-traffic pages, bold tests (≥10% lift)","Don't trial A/B — nurture or sell non-testing services")))</f>
        <v/>
      </c>
    </row>
    <row r="60" customFormat="false" ht="15" hidden="false" customHeight="false" outlineLevel="0" collapsed="false">
      <c r="A60" s="13"/>
      <c r="B60" s="14"/>
      <c r="C60" s="15"/>
      <c r="D60" s="14"/>
      <c r="E60" s="13"/>
      <c r="F60" s="16" t="str">
        <f aca="false">IF(OR($B60="",$C60=""),"",IF($D60="",Assumptions!$C$13,$D60))</f>
        <v/>
      </c>
      <c r="G60" s="17" t="str">
        <f aca="false">IF(OR($B60="",$C60=""),"",$B60*1000000/12/$C60)</f>
        <v/>
      </c>
      <c r="H60" s="18" t="str">
        <f aca="false">IF(OR($B60="",$C60=""),"",$G60/$F60)</f>
        <v/>
      </c>
      <c r="I60" s="19" t="str">
        <f aca="false">IF(OR($B60="",$C60=""),"",$C60*$H60)</f>
        <v/>
      </c>
      <c r="J60" s="19" t="str">
        <f aca="false">IF(OR($B60="",$C60=""),"",Assumptions!$C$24*($H60*(1-$H60)+$H60*(1+Assumptions!$C$9)*(1-$H60*(1+Assumptions!$C$9)))/($H60*Assumptions!$C$9)^2)</f>
        <v/>
      </c>
      <c r="K60" s="19" t="str">
        <f aca="false">IF(OR($B60="",$C60=""),"",$C60/Assumptions!$C$14*Assumptions!$C$11)</f>
        <v/>
      </c>
      <c r="L60" s="20" t="str">
        <f aca="false">IF(OR($B60="",$C60=""),"",$J60*Assumptions!$C$10/$K60)</f>
        <v/>
      </c>
      <c r="M60" s="21" t="str">
        <f aca="false">IF(OR($B60="",$C60=""),"",MIN(Assumptions!$C$20,52/MAX($L60,Assumptions!$C$12)))</f>
        <v/>
      </c>
      <c r="N60" s="22" t="str">
        <f aca="false">IF(OR($B60="",$C60=""),"",SQRT(Assumptions!$C$24)*SQRT(2*$H60*(1-$H60)/($K60*4/Assumptions!$C$10))/$H60)</f>
        <v/>
      </c>
      <c r="O60" s="23" t="str">
        <f aca="false">IF(OR($B60="",$C60=""),"",IF(AND($L60&lt;=Assumptions!$C$16,$B60&gt;=Assumptions!$C$17),"Tier 1",IF(AND($L60&lt;=Assumptions!$C$18,$B60&gt;=Assumptions!$C$19),"Tier 2","Tier 3")))</f>
        <v/>
      </c>
      <c r="P60" s="24" t="str">
        <f aca="false">IF(OR($B60="",$C60=""),"",IF($O60="Tier 1","Pursue — offer trial; plan 2-week tests",IF($O60="Tier 2","Qualify — trial only on top-traffic pages, bold tests (≥10% lift)","Don't trial A/B — nurture or sell non-testing services")))</f>
        <v/>
      </c>
    </row>
    <row r="61" customFormat="false" ht="15" hidden="false" customHeight="false" outlineLevel="0" collapsed="false">
      <c r="A61" s="13"/>
      <c r="B61" s="14"/>
      <c r="C61" s="15"/>
      <c r="D61" s="14"/>
      <c r="E61" s="13"/>
      <c r="F61" s="16" t="str">
        <f aca="false">IF(OR($B61="",$C61=""),"",IF($D61="",Assumptions!$C$13,$D61))</f>
        <v/>
      </c>
      <c r="G61" s="17" t="str">
        <f aca="false">IF(OR($B61="",$C61=""),"",$B61*1000000/12/$C61)</f>
        <v/>
      </c>
      <c r="H61" s="18" t="str">
        <f aca="false">IF(OR($B61="",$C61=""),"",$G61/$F61)</f>
        <v/>
      </c>
      <c r="I61" s="19" t="str">
        <f aca="false">IF(OR($B61="",$C61=""),"",$C61*$H61)</f>
        <v/>
      </c>
      <c r="J61" s="19" t="str">
        <f aca="false">IF(OR($B61="",$C61=""),"",Assumptions!$C$24*($H61*(1-$H61)+$H61*(1+Assumptions!$C$9)*(1-$H61*(1+Assumptions!$C$9)))/($H61*Assumptions!$C$9)^2)</f>
        <v/>
      </c>
      <c r="K61" s="19" t="str">
        <f aca="false">IF(OR($B61="",$C61=""),"",$C61/Assumptions!$C$14*Assumptions!$C$11)</f>
        <v/>
      </c>
      <c r="L61" s="20" t="str">
        <f aca="false">IF(OR($B61="",$C61=""),"",$J61*Assumptions!$C$10/$K61)</f>
        <v/>
      </c>
      <c r="M61" s="21" t="str">
        <f aca="false">IF(OR($B61="",$C61=""),"",MIN(Assumptions!$C$20,52/MAX($L61,Assumptions!$C$12)))</f>
        <v/>
      </c>
      <c r="N61" s="22" t="str">
        <f aca="false">IF(OR($B61="",$C61=""),"",SQRT(Assumptions!$C$24)*SQRT(2*$H61*(1-$H61)/($K61*4/Assumptions!$C$10))/$H61)</f>
        <v/>
      </c>
      <c r="O61" s="23" t="str">
        <f aca="false">IF(OR($B61="",$C61=""),"",IF(AND($L61&lt;=Assumptions!$C$16,$B61&gt;=Assumptions!$C$17),"Tier 1",IF(AND($L61&lt;=Assumptions!$C$18,$B61&gt;=Assumptions!$C$19),"Tier 2","Tier 3")))</f>
        <v/>
      </c>
      <c r="P61" s="24" t="str">
        <f aca="false">IF(OR($B61="",$C61=""),"",IF($O61="Tier 1","Pursue — offer trial; plan 2-week tests",IF($O61="Tier 2","Qualify — trial only on top-traffic pages, bold tests (≥10% lift)","Don't trial A/B — nurture or sell non-testing services")))</f>
        <v/>
      </c>
    </row>
    <row r="62" customFormat="false" ht="15" hidden="false" customHeight="false" outlineLevel="0" collapsed="false">
      <c r="A62" s="13"/>
      <c r="B62" s="14"/>
      <c r="C62" s="15"/>
      <c r="D62" s="14"/>
      <c r="E62" s="13"/>
      <c r="F62" s="16" t="str">
        <f aca="false">IF(OR($B62="",$C62=""),"",IF($D62="",Assumptions!$C$13,$D62))</f>
        <v/>
      </c>
      <c r="G62" s="17" t="str">
        <f aca="false">IF(OR($B62="",$C62=""),"",$B62*1000000/12/$C62)</f>
        <v/>
      </c>
      <c r="H62" s="18" t="str">
        <f aca="false">IF(OR($B62="",$C62=""),"",$G62/$F62)</f>
        <v/>
      </c>
      <c r="I62" s="19" t="str">
        <f aca="false">IF(OR($B62="",$C62=""),"",$C62*$H62)</f>
        <v/>
      </c>
      <c r="J62" s="19" t="str">
        <f aca="false">IF(OR($B62="",$C62=""),"",Assumptions!$C$24*($H62*(1-$H62)+$H62*(1+Assumptions!$C$9)*(1-$H62*(1+Assumptions!$C$9)))/($H62*Assumptions!$C$9)^2)</f>
        <v/>
      </c>
      <c r="K62" s="19" t="str">
        <f aca="false">IF(OR($B62="",$C62=""),"",$C62/Assumptions!$C$14*Assumptions!$C$11)</f>
        <v/>
      </c>
      <c r="L62" s="20" t="str">
        <f aca="false">IF(OR($B62="",$C62=""),"",$J62*Assumptions!$C$10/$K62)</f>
        <v/>
      </c>
      <c r="M62" s="21" t="str">
        <f aca="false">IF(OR($B62="",$C62=""),"",MIN(Assumptions!$C$20,52/MAX($L62,Assumptions!$C$12)))</f>
        <v/>
      </c>
      <c r="N62" s="22" t="str">
        <f aca="false">IF(OR($B62="",$C62=""),"",SQRT(Assumptions!$C$24)*SQRT(2*$H62*(1-$H62)/($K62*4/Assumptions!$C$10))/$H62)</f>
        <v/>
      </c>
      <c r="O62" s="23" t="str">
        <f aca="false">IF(OR($B62="",$C62=""),"",IF(AND($L62&lt;=Assumptions!$C$16,$B62&gt;=Assumptions!$C$17),"Tier 1",IF(AND($L62&lt;=Assumptions!$C$18,$B62&gt;=Assumptions!$C$19),"Tier 2","Tier 3")))</f>
        <v/>
      </c>
      <c r="P62" s="24" t="str">
        <f aca="false">IF(OR($B62="",$C62=""),"",IF($O62="Tier 1","Pursue — offer trial; plan 2-week tests",IF($O62="Tier 2","Qualify — trial only on top-traffic pages, bold tests (≥10% lift)","Don't trial A/B — nurture or sell non-testing services")))</f>
        <v/>
      </c>
    </row>
    <row r="63" customFormat="false" ht="15" hidden="false" customHeight="false" outlineLevel="0" collapsed="false">
      <c r="A63" s="13"/>
      <c r="B63" s="14"/>
      <c r="C63" s="15"/>
      <c r="D63" s="14"/>
      <c r="E63" s="13"/>
      <c r="F63" s="16" t="str">
        <f aca="false">IF(OR($B63="",$C63=""),"",IF($D63="",Assumptions!$C$13,$D63))</f>
        <v/>
      </c>
      <c r="G63" s="17" t="str">
        <f aca="false">IF(OR($B63="",$C63=""),"",$B63*1000000/12/$C63)</f>
        <v/>
      </c>
      <c r="H63" s="18" t="str">
        <f aca="false">IF(OR($B63="",$C63=""),"",$G63/$F63)</f>
        <v/>
      </c>
      <c r="I63" s="19" t="str">
        <f aca="false">IF(OR($B63="",$C63=""),"",$C63*$H63)</f>
        <v/>
      </c>
      <c r="J63" s="19" t="str">
        <f aca="false">IF(OR($B63="",$C63=""),"",Assumptions!$C$24*($H63*(1-$H63)+$H63*(1+Assumptions!$C$9)*(1-$H63*(1+Assumptions!$C$9)))/($H63*Assumptions!$C$9)^2)</f>
        <v/>
      </c>
      <c r="K63" s="19" t="str">
        <f aca="false">IF(OR($B63="",$C63=""),"",$C63/Assumptions!$C$14*Assumptions!$C$11)</f>
        <v/>
      </c>
      <c r="L63" s="20" t="str">
        <f aca="false">IF(OR($B63="",$C63=""),"",$J63*Assumptions!$C$10/$K63)</f>
        <v/>
      </c>
      <c r="M63" s="21" t="str">
        <f aca="false">IF(OR($B63="",$C63=""),"",MIN(Assumptions!$C$20,52/MAX($L63,Assumptions!$C$12)))</f>
        <v/>
      </c>
      <c r="N63" s="22" t="str">
        <f aca="false">IF(OR($B63="",$C63=""),"",SQRT(Assumptions!$C$24)*SQRT(2*$H63*(1-$H63)/($K63*4/Assumptions!$C$10))/$H63)</f>
        <v/>
      </c>
      <c r="O63" s="23" t="str">
        <f aca="false">IF(OR($B63="",$C63=""),"",IF(AND($L63&lt;=Assumptions!$C$16,$B63&gt;=Assumptions!$C$17),"Tier 1",IF(AND($L63&lt;=Assumptions!$C$18,$B63&gt;=Assumptions!$C$19),"Tier 2","Tier 3")))</f>
        <v/>
      </c>
      <c r="P63" s="24" t="str">
        <f aca="false">IF(OR($B63="",$C63=""),"",IF($O63="Tier 1","Pursue — offer trial; plan 2-week tests",IF($O63="Tier 2","Qualify — trial only on top-traffic pages, bold tests (≥10% lift)","Don't trial A/B — nurture or sell non-testing services")))</f>
        <v/>
      </c>
    </row>
    <row r="64" customFormat="false" ht="15" hidden="false" customHeight="false" outlineLevel="0" collapsed="false">
      <c r="A64" s="13"/>
      <c r="B64" s="14"/>
      <c r="C64" s="15"/>
      <c r="D64" s="14"/>
      <c r="E64" s="13"/>
      <c r="F64" s="16" t="str">
        <f aca="false">IF(OR($B64="",$C64=""),"",IF($D64="",Assumptions!$C$13,$D64))</f>
        <v/>
      </c>
      <c r="G64" s="17" t="str">
        <f aca="false">IF(OR($B64="",$C64=""),"",$B64*1000000/12/$C64)</f>
        <v/>
      </c>
      <c r="H64" s="18" t="str">
        <f aca="false">IF(OR($B64="",$C64=""),"",$G64/$F64)</f>
        <v/>
      </c>
      <c r="I64" s="19" t="str">
        <f aca="false">IF(OR($B64="",$C64=""),"",$C64*$H64)</f>
        <v/>
      </c>
      <c r="J64" s="19" t="str">
        <f aca="false">IF(OR($B64="",$C64=""),"",Assumptions!$C$24*($H64*(1-$H64)+$H64*(1+Assumptions!$C$9)*(1-$H64*(1+Assumptions!$C$9)))/($H64*Assumptions!$C$9)^2)</f>
        <v/>
      </c>
      <c r="K64" s="19" t="str">
        <f aca="false">IF(OR($B64="",$C64=""),"",$C64/Assumptions!$C$14*Assumptions!$C$11)</f>
        <v/>
      </c>
      <c r="L64" s="20" t="str">
        <f aca="false">IF(OR($B64="",$C64=""),"",$J64*Assumptions!$C$10/$K64)</f>
        <v/>
      </c>
      <c r="M64" s="21" t="str">
        <f aca="false">IF(OR($B64="",$C64=""),"",MIN(Assumptions!$C$20,52/MAX($L64,Assumptions!$C$12)))</f>
        <v/>
      </c>
      <c r="N64" s="22" t="str">
        <f aca="false">IF(OR($B64="",$C64=""),"",SQRT(Assumptions!$C$24)*SQRT(2*$H64*(1-$H64)/($K64*4/Assumptions!$C$10))/$H64)</f>
        <v/>
      </c>
      <c r="O64" s="23" t="str">
        <f aca="false">IF(OR($B64="",$C64=""),"",IF(AND($L64&lt;=Assumptions!$C$16,$B64&gt;=Assumptions!$C$17),"Tier 1",IF(AND($L64&lt;=Assumptions!$C$18,$B64&gt;=Assumptions!$C$19),"Tier 2","Tier 3")))</f>
        <v/>
      </c>
      <c r="P64" s="24" t="str">
        <f aca="false">IF(OR($B64="",$C64=""),"",IF($O64="Tier 1","Pursue — offer trial; plan 2-week tests",IF($O64="Tier 2","Qualify — trial only on top-traffic pages, bold tests (≥10% lift)","Don't trial A/B — nurture or sell non-testing services")))</f>
        <v/>
      </c>
    </row>
    <row r="65" customFormat="false" ht="15" hidden="false" customHeight="false" outlineLevel="0" collapsed="false">
      <c r="A65" s="13"/>
      <c r="B65" s="14"/>
      <c r="C65" s="15"/>
      <c r="D65" s="14"/>
      <c r="E65" s="13"/>
      <c r="F65" s="16" t="str">
        <f aca="false">IF(OR($B65="",$C65=""),"",IF($D65="",Assumptions!$C$13,$D65))</f>
        <v/>
      </c>
      <c r="G65" s="17" t="str">
        <f aca="false">IF(OR($B65="",$C65=""),"",$B65*1000000/12/$C65)</f>
        <v/>
      </c>
      <c r="H65" s="18" t="str">
        <f aca="false">IF(OR($B65="",$C65=""),"",$G65/$F65)</f>
        <v/>
      </c>
      <c r="I65" s="19" t="str">
        <f aca="false">IF(OR($B65="",$C65=""),"",$C65*$H65)</f>
        <v/>
      </c>
      <c r="J65" s="19" t="str">
        <f aca="false">IF(OR($B65="",$C65=""),"",Assumptions!$C$24*($H65*(1-$H65)+$H65*(1+Assumptions!$C$9)*(1-$H65*(1+Assumptions!$C$9)))/($H65*Assumptions!$C$9)^2)</f>
        <v/>
      </c>
      <c r="K65" s="19" t="str">
        <f aca="false">IF(OR($B65="",$C65=""),"",$C65/Assumptions!$C$14*Assumptions!$C$11)</f>
        <v/>
      </c>
      <c r="L65" s="20" t="str">
        <f aca="false">IF(OR($B65="",$C65=""),"",$J65*Assumptions!$C$10/$K65)</f>
        <v/>
      </c>
      <c r="M65" s="21" t="str">
        <f aca="false">IF(OR($B65="",$C65=""),"",MIN(Assumptions!$C$20,52/MAX($L65,Assumptions!$C$12)))</f>
        <v/>
      </c>
      <c r="N65" s="22" t="str">
        <f aca="false">IF(OR($B65="",$C65=""),"",SQRT(Assumptions!$C$24)*SQRT(2*$H65*(1-$H65)/($K65*4/Assumptions!$C$10))/$H65)</f>
        <v/>
      </c>
      <c r="O65" s="23" t="str">
        <f aca="false">IF(OR($B65="",$C65=""),"",IF(AND($L65&lt;=Assumptions!$C$16,$B65&gt;=Assumptions!$C$17),"Tier 1",IF(AND($L65&lt;=Assumptions!$C$18,$B65&gt;=Assumptions!$C$19),"Tier 2","Tier 3")))</f>
        <v/>
      </c>
      <c r="P65" s="24" t="str">
        <f aca="false">IF(OR($B65="",$C65=""),"",IF($O65="Tier 1","Pursue — offer trial; plan 2-week tests",IF($O65="Tier 2","Qualify — trial only on top-traffic pages, bold tests (≥10% lift)","Don't trial A/B — nurture or sell non-testing services")))</f>
        <v/>
      </c>
    </row>
    <row r="66" customFormat="false" ht="15" hidden="false" customHeight="false" outlineLevel="0" collapsed="false">
      <c r="A66" s="13"/>
      <c r="B66" s="14"/>
      <c r="C66" s="15"/>
      <c r="D66" s="14"/>
      <c r="E66" s="13"/>
      <c r="F66" s="16" t="str">
        <f aca="false">IF(OR($B66="",$C66=""),"",IF($D66="",Assumptions!$C$13,$D66))</f>
        <v/>
      </c>
      <c r="G66" s="17" t="str">
        <f aca="false">IF(OR($B66="",$C66=""),"",$B66*1000000/12/$C66)</f>
        <v/>
      </c>
      <c r="H66" s="18" t="str">
        <f aca="false">IF(OR($B66="",$C66=""),"",$G66/$F66)</f>
        <v/>
      </c>
      <c r="I66" s="19" t="str">
        <f aca="false">IF(OR($B66="",$C66=""),"",$C66*$H66)</f>
        <v/>
      </c>
      <c r="J66" s="19" t="str">
        <f aca="false">IF(OR($B66="",$C66=""),"",Assumptions!$C$24*($H66*(1-$H66)+$H66*(1+Assumptions!$C$9)*(1-$H66*(1+Assumptions!$C$9)))/($H66*Assumptions!$C$9)^2)</f>
        <v/>
      </c>
      <c r="K66" s="19" t="str">
        <f aca="false">IF(OR($B66="",$C66=""),"",$C66/Assumptions!$C$14*Assumptions!$C$11)</f>
        <v/>
      </c>
      <c r="L66" s="20" t="str">
        <f aca="false">IF(OR($B66="",$C66=""),"",$J66*Assumptions!$C$10/$K66)</f>
        <v/>
      </c>
      <c r="M66" s="21" t="str">
        <f aca="false">IF(OR($B66="",$C66=""),"",MIN(Assumptions!$C$20,52/MAX($L66,Assumptions!$C$12)))</f>
        <v/>
      </c>
      <c r="N66" s="22" t="str">
        <f aca="false">IF(OR($B66="",$C66=""),"",SQRT(Assumptions!$C$24)*SQRT(2*$H66*(1-$H66)/($K66*4/Assumptions!$C$10))/$H66)</f>
        <v/>
      </c>
      <c r="O66" s="23" t="str">
        <f aca="false">IF(OR($B66="",$C66=""),"",IF(AND($L66&lt;=Assumptions!$C$16,$B66&gt;=Assumptions!$C$17),"Tier 1",IF(AND($L66&lt;=Assumptions!$C$18,$B66&gt;=Assumptions!$C$19),"Tier 2","Tier 3")))</f>
        <v/>
      </c>
      <c r="P66" s="24" t="str">
        <f aca="false">IF(OR($B66="",$C66=""),"",IF($O66="Tier 1","Pursue — offer trial; plan 2-week tests",IF($O66="Tier 2","Qualify — trial only on top-traffic pages, bold tests (≥10% lift)","Don't trial A/B — nurture or sell non-testing services")))</f>
        <v/>
      </c>
    </row>
    <row r="67" customFormat="false" ht="15" hidden="false" customHeight="false" outlineLevel="0" collapsed="false">
      <c r="A67" s="13"/>
      <c r="B67" s="14"/>
      <c r="C67" s="15"/>
      <c r="D67" s="14"/>
      <c r="E67" s="13"/>
      <c r="F67" s="16" t="str">
        <f aca="false">IF(OR($B67="",$C67=""),"",IF($D67="",Assumptions!$C$13,$D67))</f>
        <v/>
      </c>
      <c r="G67" s="17" t="str">
        <f aca="false">IF(OR($B67="",$C67=""),"",$B67*1000000/12/$C67)</f>
        <v/>
      </c>
      <c r="H67" s="18" t="str">
        <f aca="false">IF(OR($B67="",$C67=""),"",$G67/$F67)</f>
        <v/>
      </c>
      <c r="I67" s="19" t="str">
        <f aca="false">IF(OR($B67="",$C67=""),"",$C67*$H67)</f>
        <v/>
      </c>
      <c r="J67" s="19" t="str">
        <f aca="false">IF(OR($B67="",$C67=""),"",Assumptions!$C$24*($H67*(1-$H67)+$H67*(1+Assumptions!$C$9)*(1-$H67*(1+Assumptions!$C$9)))/($H67*Assumptions!$C$9)^2)</f>
        <v/>
      </c>
      <c r="K67" s="19" t="str">
        <f aca="false">IF(OR($B67="",$C67=""),"",$C67/Assumptions!$C$14*Assumptions!$C$11)</f>
        <v/>
      </c>
      <c r="L67" s="20" t="str">
        <f aca="false">IF(OR($B67="",$C67=""),"",$J67*Assumptions!$C$10/$K67)</f>
        <v/>
      </c>
      <c r="M67" s="21" t="str">
        <f aca="false">IF(OR($B67="",$C67=""),"",MIN(Assumptions!$C$20,52/MAX($L67,Assumptions!$C$12)))</f>
        <v/>
      </c>
      <c r="N67" s="22" t="str">
        <f aca="false">IF(OR($B67="",$C67=""),"",SQRT(Assumptions!$C$24)*SQRT(2*$H67*(1-$H67)/($K67*4/Assumptions!$C$10))/$H67)</f>
        <v/>
      </c>
      <c r="O67" s="23" t="str">
        <f aca="false">IF(OR($B67="",$C67=""),"",IF(AND($L67&lt;=Assumptions!$C$16,$B67&gt;=Assumptions!$C$17),"Tier 1",IF(AND($L67&lt;=Assumptions!$C$18,$B67&gt;=Assumptions!$C$19),"Tier 2","Tier 3")))</f>
        <v/>
      </c>
      <c r="P67" s="24" t="str">
        <f aca="false">IF(OR($B67="",$C67=""),"",IF($O67="Tier 1","Pursue — offer trial; plan 2-week tests",IF($O67="Tier 2","Qualify — trial only on top-traffic pages, bold tests (≥10% lift)","Don't trial A/B — nurture or sell non-testing services")))</f>
        <v/>
      </c>
    </row>
    <row r="68" customFormat="false" ht="15" hidden="false" customHeight="false" outlineLevel="0" collapsed="false">
      <c r="A68" s="13"/>
      <c r="B68" s="14"/>
      <c r="C68" s="15"/>
      <c r="D68" s="14"/>
      <c r="E68" s="13"/>
      <c r="F68" s="16" t="str">
        <f aca="false">IF(OR($B68="",$C68=""),"",IF($D68="",Assumptions!$C$13,$D68))</f>
        <v/>
      </c>
      <c r="G68" s="17" t="str">
        <f aca="false">IF(OR($B68="",$C68=""),"",$B68*1000000/12/$C68)</f>
        <v/>
      </c>
      <c r="H68" s="18" t="str">
        <f aca="false">IF(OR($B68="",$C68=""),"",$G68/$F68)</f>
        <v/>
      </c>
      <c r="I68" s="19" t="str">
        <f aca="false">IF(OR($B68="",$C68=""),"",$C68*$H68)</f>
        <v/>
      </c>
      <c r="J68" s="19" t="str">
        <f aca="false">IF(OR($B68="",$C68=""),"",Assumptions!$C$24*($H68*(1-$H68)+$H68*(1+Assumptions!$C$9)*(1-$H68*(1+Assumptions!$C$9)))/($H68*Assumptions!$C$9)^2)</f>
        <v/>
      </c>
      <c r="K68" s="19" t="str">
        <f aca="false">IF(OR($B68="",$C68=""),"",$C68/Assumptions!$C$14*Assumptions!$C$11)</f>
        <v/>
      </c>
      <c r="L68" s="20" t="str">
        <f aca="false">IF(OR($B68="",$C68=""),"",$J68*Assumptions!$C$10/$K68)</f>
        <v/>
      </c>
      <c r="M68" s="21" t="str">
        <f aca="false">IF(OR($B68="",$C68=""),"",MIN(Assumptions!$C$20,52/MAX($L68,Assumptions!$C$12)))</f>
        <v/>
      </c>
      <c r="N68" s="22" t="str">
        <f aca="false">IF(OR($B68="",$C68=""),"",SQRT(Assumptions!$C$24)*SQRT(2*$H68*(1-$H68)/($K68*4/Assumptions!$C$10))/$H68)</f>
        <v/>
      </c>
      <c r="O68" s="23" t="str">
        <f aca="false">IF(OR($B68="",$C68=""),"",IF(AND($L68&lt;=Assumptions!$C$16,$B68&gt;=Assumptions!$C$17),"Tier 1",IF(AND($L68&lt;=Assumptions!$C$18,$B68&gt;=Assumptions!$C$19),"Tier 2","Tier 3")))</f>
        <v/>
      </c>
      <c r="P68" s="24" t="str">
        <f aca="false">IF(OR($B68="",$C68=""),"",IF($O68="Tier 1","Pursue — offer trial; plan 2-week tests",IF($O68="Tier 2","Qualify — trial only on top-traffic pages, bold tests (≥10% lift)","Don't trial A/B — nurture or sell non-testing services")))</f>
        <v/>
      </c>
    </row>
    <row r="69" customFormat="false" ht="15" hidden="false" customHeight="false" outlineLevel="0" collapsed="false">
      <c r="A69" s="13"/>
      <c r="B69" s="14"/>
      <c r="C69" s="15"/>
      <c r="D69" s="14"/>
      <c r="E69" s="13"/>
      <c r="F69" s="16" t="str">
        <f aca="false">IF(OR($B69="",$C69=""),"",IF($D69="",Assumptions!$C$13,$D69))</f>
        <v/>
      </c>
      <c r="G69" s="17" t="str">
        <f aca="false">IF(OR($B69="",$C69=""),"",$B69*1000000/12/$C69)</f>
        <v/>
      </c>
      <c r="H69" s="18" t="str">
        <f aca="false">IF(OR($B69="",$C69=""),"",$G69/$F69)</f>
        <v/>
      </c>
      <c r="I69" s="19" t="str">
        <f aca="false">IF(OR($B69="",$C69=""),"",$C69*$H69)</f>
        <v/>
      </c>
      <c r="J69" s="19" t="str">
        <f aca="false">IF(OR($B69="",$C69=""),"",Assumptions!$C$24*($H69*(1-$H69)+$H69*(1+Assumptions!$C$9)*(1-$H69*(1+Assumptions!$C$9)))/($H69*Assumptions!$C$9)^2)</f>
        <v/>
      </c>
      <c r="K69" s="19" t="str">
        <f aca="false">IF(OR($B69="",$C69=""),"",$C69/Assumptions!$C$14*Assumptions!$C$11)</f>
        <v/>
      </c>
      <c r="L69" s="20" t="str">
        <f aca="false">IF(OR($B69="",$C69=""),"",$J69*Assumptions!$C$10/$K69)</f>
        <v/>
      </c>
      <c r="M69" s="21" t="str">
        <f aca="false">IF(OR($B69="",$C69=""),"",MIN(Assumptions!$C$20,52/MAX($L69,Assumptions!$C$12)))</f>
        <v/>
      </c>
      <c r="N69" s="22" t="str">
        <f aca="false">IF(OR($B69="",$C69=""),"",SQRT(Assumptions!$C$24)*SQRT(2*$H69*(1-$H69)/($K69*4/Assumptions!$C$10))/$H69)</f>
        <v/>
      </c>
      <c r="O69" s="23" t="str">
        <f aca="false">IF(OR($B69="",$C69=""),"",IF(AND($L69&lt;=Assumptions!$C$16,$B69&gt;=Assumptions!$C$17),"Tier 1",IF(AND($L69&lt;=Assumptions!$C$18,$B69&gt;=Assumptions!$C$19),"Tier 2","Tier 3")))</f>
        <v/>
      </c>
      <c r="P69" s="24" t="str">
        <f aca="false">IF(OR($B69="",$C69=""),"",IF($O69="Tier 1","Pursue — offer trial; plan 2-week tests",IF($O69="Tier 2","Qualify — trial only on top-traffic pages, bold tests (≥10% lift)","Don't trial A/B — nurture or sell non-testing services")))</f>
        <v/>
      </c>
    </row>
    <row r="70" customFormat="false" ht="15" hidden="false" customHeight="false" outlineLevel="0" collapsed="false">
      <c r="A70" s="13"/>
      <c r="B70" s="14"/>
      <c r="C70" s="15"/>
      <c r="D70" s="14"/>
      <c r="E70" s="13"/>
      <c r="F70" s="16" t="str">
        <f aca="false">IF(OR($B70="",$C70=""),"",IF($D70="",Assumptions!$C$13,$D70))</f>
        <v/>
      </c>
      <c r="G70" s="17" t="str">
        <f aca="false">IF(OR($B70="",$C70=""),"",$B70*1000000/12/$C70)</f>
        <v/>
      </c>
      <c r="H70" s="18" t="str">
        <f aca="false">IF(OR($B70="",$C70=""),"",$G70/$F70)</f>
        <v/>
      </c>
      <c r="I70" s="19" t="str">
        <f aca="false">IF(OR($B70="",$C70=""),"",$C70*$H70)</f>
        <v/>
      </c>
      <c r="J70" s="19" t="str">
        <f aca="false">IF(OR($B70="",$C70=""),"",Assumptions!$C$24*($H70*(1-$H70)+$H70*(1+Assumptions!$C$9)*(1-$H70*(1+Assumptions!$C$9)))/($H70*Assumptions!$C$9)^2)</f>
        <v/>
      </c>
      <c r="K70" s="19" t="str">
        <f aca="false">IF(OR($B70="",$C70=""),"",$C70/Assumptions!$C$14*Assumptions!$C$11)</f>
        <v/>
      </c>
      <c r="L70" s="20" t="str">
        <f aca="false">IF(OR($B70="",$C70=""),"",$J70*Assumptions!$C$10/$K70)</f>
        <v/>
      </c>
      <c r="M70" s="21" t="str">
        <f aca="false">IF(OR($B70="",$C70=""),"",MIN(Assumptions!$C$20,52/MAX($L70,Assumptions!$C$12)))</f>
        <v/>
      </c>
      <c r="N70" s="22" t="str">
        <f aca="false">IF(OR($B70="",$C70=""),"",SQRT(Assumptions!$C$24)*SQRT(2*$H70*(1-$H70)/($K70*4/Assumptions!$C$10))/$H70)</f>
        <v/>
      </c>
      <c r="O70" s="23" t="str">
        <f aca="false">IF(OR($B70="",$C70=""),"",IF(AND($L70&lt;=Assumptions!$C$16,$B70&gt;=Assumptions!$C$17),"Tier 1",IF(AND($L70&lt;=Assumptions!$C$18,$B70&gt;=Assumptions!$C$19),"Tier 2","Tier 3")))</f>
        <v/>
      </c>
      <c r="P70" s="24" t="str">
        <f aca="false">IF(OR($B70="",$C70=""),"",IF($O70="Tier 1","Pursue — offer trial; plan 2-week tests",IF($O70="Tier 2","Qualify — trial only on top-traffic pages, bold tests (≥10% lift)","Don't trial A/B — nurture or sell non-testing services")))</f>
        <v/>
      </c>
    </row>
    <row r="71" customFormat="false" ht="15" hidden="false" customHeight="false" outlineLevel="0" collapsed="false">
      <c r="A71" s="13"/>
      <c r="B71" s="14"/>
      <c r="C71" s="15"/>
      <c r="D71" s="14"/>
      <c r="E71" s="13"/>
      <c r="F71" s="16" t="str">
        <f aca="false">IF(OR($B71="",$C71=""),"",IF($D71="",Assumptions!$C$13,$D71))</f>
        <v/>
      </c>
      <c r="G71" s="17" t="str">
        <f aca="false">IF(OR($B71="",$C71=""),"",$B71*1000000/12/$C71)</f>
        <v/>
      </c>
      <c r="H71" s="18" t="str">
        <f aca="false">IF(OR($B71="",$C71=""),"",$G71/$F71)</f>
        <v/>
      </c>
      <c r="I71" s="19" t="str">
        <f aca="false">IF(OR($B71="",$C71=""),"",$C71*$H71)</f>
        <v/>
      </c>
      <c r="J71" s="19" t="str">
        <f aca="false">IF(OR($B71="",$C71=""),"",Assumptions!$C$24*($H71*(1-$H71)+$H71*(1+Assumptions!$C$9)*(1-$H71*(1+Assumptions!$C$9)))/($H71*Assumptions!$C$9)^2)</f>
        <v/>
      </c>
      <c r="K71" s="19" t="str">
        <f aca="false">IF(OR($B71="",$C71=""),"",$C71/Assumptions!$C$14*Assumptions!$C$11)</f>
        <v/>
      </c>
      <c r="L71" s="20" t="str">
        <f aca="false">IF(OR($B71="",$C71=""),"",$J71*Assumptions!$C$10/$K71)</f>
        <v/>
      </c>
      <c r="M71" s="21" t="str">
        <f aca="false">IF(OR($B71="",$C71=""),"",MIN(Assumptions!$C$20,52/MAX($L71,Assumptions!$C$12)))</f>
        <v/>
      </c>
      <c r="N71" s="22" t="str">
        <f aca="false">IF(OR($B71="",$C71=""),"",SQRT(Assumptions!$C$24)*SQRT(2*$H71*(1-$H71)/($K71*4/Assumptions!$C$10))/$H71)</f>
        <v/>
      </c>
      <c r="O71" s="23" t="str">
        <f aca="false">IF(OR($B71="",$C71=""),"",IF(AND($L71&lt;=Assumptions!$C$16,$B71&gt;=Assumptions!$C$17),"Tier 1",IF(AND($L71&lt;=Assumptions!$C$18,$B71&gt;=Assumptions!$C$19),"Tier 2","Tier 3")))</f>
        <v/>
      </c>
      <c r="P71" s="24" t="str">
        <f aca="false">IF(OR($B71="",$C71=""),"",IF($O71="Tier 1","Pursue — offer trial; plan 2-week tests",IF($O71="Tier 2","Qualify — trial only on top-traffic pages, bold tests (≥10% lift)","Don't trial A/B — nurture or sell non-testing services")))</f>
        <v/>
      </c>
    </row>
    <row r="72" customFormat="false" ht="15" hidden="false" customHeight="false" outlineLevel="0" collapsed="false">
      <c r="A72" s="13"/>
      <c r="B72" s="14"/>
      <c r="C72" s="15"/>
      <c r="D72" s="14"/>
      <c r="E72" s="13"/>
      <c r="F72" s="16" t="str">
        <f aca="false">IF(OR($B72="",$C72=""),"",IF($D72="",Assumptions!$C$13,$D72))</f>
        <v/>
      </c>
      <c r="G72" s="17" t="str">
        <f aca="false">IF(OR($B72="",$C72=""),"",$B72*1000000/12/$C72)</f>
        <v/>
      </c>
      <c r="H72" s="18" t="str">
        <f aca="false">IF(OR($B72="",$C72=""),"",$G72/$F72)</f>
        <v/>
      </c>
      <c r="I72" s="19" t="str">
        <f aca="false">IF(OR($B72="",$C72=""),"",$C72*$H72)</f>
        <v/>
      </c>
      <c r="J72" s="19" t="str">
        <f aca="false">IF(OR($B72="",$C72=""),"",Assumptions!$C$24*($H72*(1-$H72)+$H72*(1+Assumptions!$C$9)*(1-$H72*(1+Assumptions!$C$9)))/($H72*Assumptions!$C$9)^2)</f>
        <v/>
      </c>
      <c r="K72" s="19" t="str">
        <f aca="false">IF(OR($B72="",$C72=""),"",$C72/Assumptions!$C$14*Assumptions!$C$11)</f>
        <v/>
      </c>
      <c r="L72" s="20" t="str">
        <f aca="false">IF(OR($B72="",$C72=""),"",$J72*Assumptions!$C$10/$K72)</f>
        <v/>
      </c>
      <c r="M72" s="21" t="str">
        <f aca="false">IF(OR($B72="",$C72=""),"",MIN(Assumptions!$C$20,52/MAX($L72,Assumptions!$C$12)))</f>
        <v/>
      </c>
      <c r="N72" s="22" t="str">
        <f aca="false">IF(OR($B72="",$C72=""),"",SQRT(Assumptions!$C$24)*SQRT(2*$H72*(1-$H72)/($K72*4/Assumptions!$C$10))/$H72)</f>
        <v/>
      </c>
      <c r="O72" s="23" t="str">
        <f aca="false">IF(OR($B72="",$C72=""),"",IF(AND($L72&lt;=Assumptions!$C$16,$B72&gt;=Assumptions!$C$17),"Tier 1",IF(AND($L72&lt;=Assumptions!$C$18,$B72&gt;=Assumptions!$C$19),"Tier 2","Tier 3")))</f>
        <v/>
      </c>
      <c r="P72" s="24" t="str">
        <f aca="false">IF(OR($B72="",$C72=""),"",IF($O72="Tier 1","Pursue — offer trial; plan 2-week tests",IF($O72="Tier 2","Qualify — trial only on top-traffic pages, bold tests (≥10% lift)","Don't trial A/B — nurture or sell non-testing services")))</f>
        <v/>
      </c>
    </row>
    <row r="73" customFormat="false" ht="15" hidden="false" customHeight="false" outlineLevel="0" collapsed="false">
      <c r="A73" s="13"/>
      <c r="B73" s="14"/>
      <c r="C73" s="15"/>
      <c r="D73" s="14"/>
      <c r="E73" s="13"/>
      <c r="F73" s="16" t="str">
        <f aca="false">IF(OR($B73="",$C73=""),"",IF($D73="",Assumptions!$C$13,$D73))</f>
        <v/>
      </c>
      <c r="G73" s="17" t="str">
        <f aca="false">IF(OR($B73="",$C73=""),"",$B73*1000000/12/$C73)</f>
        <v/>
      </c>
      <c r="H73" s="18" t="str">
        <f aca="false">IF(OR($B73="",$C73=""),"",$G73/$F73)</f>
        <v/>
      </c>
      <c r="I73" s="19" t="str">
        <f aca="false">IF(OR($B73="",$C73=""),"",$C73*$H73)</f>
        <v/>
      </c>
      <c r="J73" s="19" t="str">
        <f aca="false">IF(OR($B73="",$C73=""),"",Assumptions!$C$24*($H73*(1-$H73)+$H73*(1+Assumptions!$C$9)*(1-$H73*(1+Assumptions!$C$9)))/($H73*Assumptions!$C$9)^2)</f>
        <v/>
      </c>
      <c r="K73" s="19" t="str">
        <f aca="false">IF(OR($B73="",$C73=""),"",$C73/Assumptions!$C$14*Assumptions!$C$11)</f>
        <v/>
      </c>
      <c r="L73" s="20" t="str">
        <f aca="false">IF(OR($B73="",$C73=""),"",$J73*Assumptions!$C$10/$K73)</f>
        <v/>
      </c>
      <c r="M73" s="21" t="str">
        <f aca="false">IF(OR($B73="",$C73=""),"",MIN(Assumptions!$C$20,52/MAX($L73,Assumptions!$C$12)))</f>
        <v/>
      </c>
      <c r="N73" s="22" t="str">
        <f aca="false">IF(OR($B73="",$C73=""),"",SQRT(Assumptions!$C$24)*SQRT(2*$H73*(1-$H73)/($K73*4/Assumptions!$C$10))/$H73)</f>
        <v/>
      </c>
      <c r="O73" s="23" t="str">
        <f aca="false">IF(OR($B73="",$C73=""),"",IF(AND($L73&lt;=Assumptions!$C$16,$B73&gt;=Assumptions!$C$17),"Tier 1",IF(AND($L73&lt;=Assumptions!$C$18,$B73&gt;=Assumptions!$C$19),"Tier 2","Tier 3")))</f>
        <v/>
      </c>
      <c r="P73" s="24" t="str">
        <f aca="false">IF(OR($B73="",$C73=""),"",IF($O73="Tier 1","Pursue — offer trial; plan 2-week tests",IF($O73="Tier 2","Qualify — trial only on top-traffic pages, bold tests (≥10% lift)","Don't trial A/B — nurture or sell non-testing services")))</f>
        <v/>
      </c>
    </row>
    <row r="74" customFormat="false" ht="15" hidden="false" customHeight="false" outlineLevel="0" collapsed="false">
      <c r="A74" s="13"/>
      <c r="B74" s="14"/>
      <c r="C74" s="15"/>
      <c r="D74" s="14"/>
      <c r="E74" s="13"/>
      <c r="F74" s="16" t="str">
        <f aca="false">IF(OR($B74="",$C74=""),"",IF($D74="",Assumptions!$C$13,$D74))</f>
        <v/>
      </c>
      <c r="G74" s="17" t="str">
        <f aca="false">IF(OR($B74="",$C74=""),"",$B74*1000000/12/$C74)</f>
        <v/>
      </c>
      <c r="H74" s="18" t="str">
        <f aca="false">IF(OR($B74="",$C74=""),"",$G74/$F74)</f>
        <v/>
      </c>
      <c r="I74" s="19" t="str">
        <f aca="false">IF(OR($B74="",$C74=""),"",$C74*$H74)</f>
        <v/>
      </c>
      <c r="J74" s="19" t="str">
        <f aca="false">IF(OR($B74="",$C74=""),"",Assumptions!$C$24*($H74*(1-$H74)+$H74*(1+Assumptions!$C$9)*(1-$H74*(1+Assumptions!$C$9)))/($H74*Assumptions!$C$9)^2)</f>
        <v/>
      </c>
      <c r="K74" s="19" t="str">
        <f aca="false">IF(OR($B74="",$C74=""),"",$C74/Assumptions!$C$14*Assumptions!$C$11)</f>
        <v/>
      </c>
      <c r="L74" s="20" t="str">
        <f aca="false">IF(OR($B74="",$C74=""),"",$J74*Assumptions!$C$10/$K74)</f>
        <v/>
      </c>
      <c r="M74" s="21" t="str">
        <f aca="false">IF(OR($B74="",$C74=""),"",MIN(Assumptions!$C$20,52/MAX($L74,Assumptions!$C$12)))</f>
        <v/>
      </c>
      <c r="N74" s="22" t="str">
        <f aca="false">IF(OR($B74="",$C74=""),"",SQRT(Assumptions!$C$24)*SQRT(2*$H74*(1-$H74)/($K74*4/Assumptions!$C$10))/$H74)</f>
        <v/>
      </c>
      <c r="O74" s="23" t="str">
        <f aca="false">IF(OR($B74="",$C74=""),"",IF(AND($L74&lt;=Assumptions!$C$16,$B74&gt;=Assumptions!$C$17),"Tier 1",IF(AND($L74&lt;=Assumptions!$C$18,$B74&gt;=Assumptions!$C$19),"Tier 2","Tier 3")))</f>
        <v/>
      </c>
      <c r="P74" s="24" t="str">
        <f aca="false">IF(OR($B74="",$C74=""),"",IF($O74="Tier 1","Pursue — offer trial; plan 2-week tests",IF($O74="Tier 2","Qualify — trial only on top-traffic pages, bold tests (≥10% lift)","Don't trial A/B — nurture or sell non-testing services")))</f>
        <v/>
      </c>
    </row>
    <row r="75" customFormat="false" ht="15" hidden="false" customHeight="false" outlineLevel="0" collapsed="false">
      <c r="A75" s="13"/>
      <c r="B75" s="14"/>
      <c r="C75" s="15"/>
      <c r="D75" s="14"/>
      <c r="E75" s="13"/>
      <c r="F75" s="16" t="str">
        <f aca="false">IF(OR($B75="",$C75=""),"",IF($D75="",Assumptions!$C$13,$D75))</f>
        <v/>
      </c>
      <c r="G75" s="17" t="str">
        <f aca="false">IF(OR($B75="",$C75=""),"",$B75*1000000/12/$C75)</f>
        <v/>
      </c>
      <c r="H75" s="18" t="str">
        <f aca="false">IF(OR($B75="",$C75=""),"",$G75/$F75)</f>
        <v/>
      </c>
      <c r="I75" s="19" t="str">
        <f aca="false">IF(OR($B75="",$C75=""),"",$C75*$H75)</f>
        <v/>
      </c>
      <c r="J75" s="19" t="str">
        <f aca="false">IF(OR($B75="",$C75=""),"",Assumptions!$C$24*($H75*(1-$H75)+$H75*(1+Assumptions!$C$9)*(1-$H75*(1+Assumptions!$C$9)))/($H75*Assumptions!$C$9)^2)</f>
        <v/>
      </c>
      <c r="K75" s="19" t="str">
        <f aca="false">IF(OR($B75="",$C75=""),"",$C75/Assumptions!$C$14*Assumptions!$C$11)</f>
        <v/>
      </c>
      <c r="L75" s="20" t="str">
        <f aca="false">IF(OR($B75="",$C75=""),"",$J75*Assumptions!$C$10/$K75)</f>
        <v/>
      </c>
      <c r="M75" s="21" t="str">
        <f aca="false">IF(OR($B75="",$C75=""),"",MIN(Assumptions!$C$20,52/MAX($L75,Assumptions!$C$12)))</f>
        <v/>
      </c>
      <c r="N75" s="22" t="str">
        <f aca="false">IF(OR($B75="",$C75=""),"",SQRT(Assumptions!$C$24)*SQRT(2*$H75*(1-$H75)/($K75*4/Assumptions!$C$10))/$H75)</f>
        <v/>
      </c>
      <c r="O75" s="23" t="str">
        <f aca="false">IF(OR($B75="",$C75=""),"",IF(AND($L75&lt;=Assumptions!$C$16,$B75&gt;=Assumptions!$C$17),"Tier 1",IF(AND($L75&lt;=Assumptions!$C$18,$B75&gt;=Assumptions!$C$19),"Tier 2","Tier 3")))</f>
        <v/>
      </c>
      <c r="P75" s="24" t="str">
        <f aca="false">IF(OR($B75="",$C75=""),"",IF($O75="Tier 1","Pursue — offer trial; plan 2-week tests",IF($O75="Tier 2","Qualify — trial only on top-traffic pages, bold tests (≥10% lift)","Don't trial A/B — nurture or sell non-testing services")))</f>
        <v/>
      </c>
    </row>
    <row r="76" customFormat="false" ht="15" hidden="false" customHeight="false" outlineLevel="0" collapsed="false">
      <c r="A76" s="13"/>
      <c r="B76" s="14"/>
      <c r="C76" s="15"/>
      <c r="D76" s="14"/>
      <c r="E76" s="13"/>
      <c r="F76" s="16" t="str">
        <f aca="false">IF(OR($B76="",$C76=""),"",IF($D76="",Assumptions!$C$13,$D76))</f>
        <v/>
      </c>
      <c r="G76" s="17" t="str">
        <f aca="false">IF(OR($B76="",$C76=""),"",$B76*1000000/12/$C76)</f>
        <v/>
      </c>
      <c r="H76" s="18" t="str">
        <f aca="false">IF(OR($B76="",$C76=""),"",$G76/$F76)</f>
        <v/>
      </c>
      <c r="I76" s="19" t="str">
        <f aca="false">IF(OR($B76="",$C76=""),"",$C76*$H76)</f>
        <v/>
      </c>
      <c r="J76" s="19" t="str">
        <f aca="false">IF(OR($B76="",$C76=""),"",Assumptions!$C$24*($H76*(1-$H76)+$H76*(1+Assumptions!$C$9)*(1-$H76*(1+Assumptions!$C$9)))/($H76*Assumptions!$C$9)^2)</f>
        <v/>
      </c>
      <c r="K76" s="19" t="str">
        <f aca="false">IF(OR($B76="",$C76=""),"",$C76/Assumptions!$C$14*Assumptions!$C$11)</f>
        <v/>
      </c>
      <c r="L76" s="20" t="str">
        <f aca="false">IF(OR($B76="",$C76=""),"",$J76*Assumptions!$C$10/$K76)</f>
        <v/>
      </c>
      <c r="M76" s="21" t="str">
        <f aca="false">IF(OR($B76="",$C76=""),"",MIN(Assumptions!$C$20,52/MAX($L76,Assumptions!$C$12)))</f>
        <v/>
      </c>
      <c r="N76" s="22" t="str">
        <f aca="false">IF(OR($B76="",$C76=""),"",SQRT(Assumptions!$C$24)*SQRT(2*$H76*(1-$H76)/($K76*4/Assumptions!$C$10))/$H76)</f>
        <v/>
      </c>
      <c r="O76" s="23" t="str">
        <f aca="false">IF(OR($B76="",$C76=""),"",IF(AND($L76&lt;=Assumptions!$C$16,$B76&gt;=Assumptions!$C$17),"Tier 1",IF(AND($L76&lt;=Assumptions!$C$18,$B76&gt;=Assumptions!$C$19),"Tier 2","Tier 3")))</f>
        <v/>
      </c>
      <c r="P76" s="24" t="str">
        <f aca="false">IF(OR($B76="",$C76=""),"",IF($O76="Tier 1","Pursue — offer trial; plan 2-week tests",IF($O76="Tier 2","Qualify — trial only on top-traffic pages, bold tests (≥10% lift)","Don't trial A/B — nurture or sell non-testing services")))</f>
        <v/>
      </c>
    </row>
    <row r="77" customFormat="false" ht="15" hidden="false" customHeight="false" outlineLevel="0" collapsed="false">
      <c r="A77" s="13"/>
      <c r="B77" s="14"/>
      <c r="C77" s="15"/>
      <c r="D77" s="14"/>
      <c r="E77" s="13"/>
      <c r="F77" s="16" t="str">
        <f aca="false">IF(OR($B77="",$C77=""),"",IF($D77="",Assumptions!$C$13,$D77))</f>
        <v/>
      </c>
      <c r="G77" s="17" t="str">
        <f aca="false">IF(OR($B77="",$C77=""),"",$B77*1000000/12/$C77)</f>
        <v/>
      </c>
      <c r="H77" s="18" t="str">
        <f aca="false">IF(OR($B77="",$C77=""),"",$G77/$F77)</f>
        <v/>
      </c>
      <c r="I77" s="19" t="str">
        <f aca="false">IF(OR($B77="",$C77=""),"",$C77*$H77)</f>
        <v/>
      </c>
      <c r="J77" s="19" t="str">
        <f aca="false">IF(OR($B77="",$C77=""),"",Assumptions!$C$24*($H77*(1-$H77)+$H77*(1+Assumptions!$C$9)*(1-$H77*(1+Assumptions!$C$9)))/($H77*Assumptions!$C$9)^2)</f>
        <v/>
      </c>
      <c r="K77" s="19" t="str">
        <f aca="false">IF(OR($B77="",$C77=""),"",$C77/Assumptions!$C$14*Assumptions!$C$11)</f>
        <v/>
      </c>
      <c r="L77" s="20" t="str">
        <f aca="false">IF(OR($B77="",$C77=""),"",$J77*Assumptions!$C$10/$K77)</f>
        <v/>
      </c>
      <c r="M77" s="21" t="str">
        <f aca="false">IF(OR($B77="",$C77=""),"",MIN(Assumptions!$C$20,52/MAX($L77,Assumptions!$C$12)))</f>
        <v/>
      </c>
      <c r="N77" s="22" t="str">
        <f aca="false">IF(OR($B77="",$C77=""),"",SQRT(Assumptions!$C$24)*SQRT(2*$H77*(1-$H77)/($K77*4/Assumptions!$C$10))/$H77)</f>
        <v/>
      </c>
      <c r="O77" s="23" t="str">
        <f aca="false">IF(OR($B77="",$C77=""),"",IF(AND($L77&lt;=Assumptions!$C$16,$B77&gt;=Assumptions!$C$17),"Tier 1",IF(AND($L77&lt;=Assumptions!$C$18,$B77&gt;=Assumptions!$C$19),"Tier 2","Tier 3")))</f>
        <v/>
      </c>
      <c r="P77" s="24" t="str">
        <f aca="false">IF(OR($B77="",$C77=""),"",IF($O77="Tier 1","Pursue — offer trial; plan 2-week tests",IF($O77="Tier 2","Qualify — trial only on top-traffic pages, bold tests (≥10% lift)","Don't trial A/B — nurture or sell non-testing services")))</f>
        <v/>
      </c>
    </row>
    <row r="78" customFormat="false" ht="15" hidden="false" customHeight="false" outlineLevel="0" collapsed="false">
      <c r="A78" s="13"/>
      <c r="B78" s="14"/>
      <c r="C78" s="15"/>
      <c r="D78" s="14"/>
      <c r="E78" s="13"/>
      <c r="F78" s="16" t="str">
        <f aca="false">IF(OR($B78="",$C78=""),"",IF($D78="",Assumptions!$C$13,$D78))</f>
        <v/>
      </c>
      <c r="G78" s="17" t="str">
        <f aca="false">IF(OR($B78="",$C78=""),"",$B78*1000000/12/$C78)</f>
        <v/>
      </c>
      <c r="H78" s="18" t="str">
        <f aca="false">IF(OR($B78="",$C78=""),"",$G78/$F78)</f>
        <v/>
      </c>
      <c r="I78" s="19" t="str">
        <f aca="false">IF(OR($B78="",$C78=""),"",$C78*$H78)</f>
        <v/>
      </c>
      <c r="J78" s="19" t="str">
        <f aca="false">IF(OR($B78="",$C78=""),"",Assumptions!$C$24*($H78*(1-$H78)+$H78*(1+Assumptions!$C$9)*(1-$H78*(1+Assumptions!$C$9)))/($H78*Assumptions!$C$9)^2)</f>
        <v/>
      </c>
      <c r="K78" s="19" t="str">
        <f aca="false">IF(OR($B78="",$C78=""),"",$C78/Assumptions!$C$14*Assumptions!$C$11)</f>
        <v/>
      </c>
      <c r="L78" s="20" t="str">
        <f aca="false">IF(OR($B78="",$C78=""),"",$J78*Assumptions!$C$10/$K78)</f>
        <v/>
      </c>
      <c r="M78" s="21" t="str">
        <f aca="false">IF(OR($B78="",$C78=""),"",MIN(Assumptions!$C$20,52/MAX($L78,Assumptions!$C$12)))</f>
        <v/>
      </c>
      <c r="N78" s="22" t="str">
        <f aca="false">IF(OR($B78="",$C78=""),"",SQRT(Assumptions!$C$24)*SQRT(2*$H78*(1-$H78)/($K78*4/Assumptions!$C$10))/$H78)</f>
        <v/>
      </c>
      <c r="O78" s="23" t="str">
        <f aca="false">IF(OR($B78="",$C78=""),"",IF(AND($L78&lt;=Assumptions!$C$16,$B78&gt;=Assumptions!$C$17),"Tier 1",IF(AND($L78&lt;=Assumptions!$C$18,$B78&gt;=Assumptions!$C$19),"Tier 2","Tier 3")))</f>
        <v/>
      </c>
      <c r="P78" s="24" t="str">
        <f aca="false">IF(OR($B78="",$C78=""),"",IF($O78="Tier 1","Pursue — offer trial; plan 2-week tests",IF($O78="Tier 2","Qualify — trial only on top-traffic pages, bold tests (≥10% lift)","Don't trial A/B — nurture or sell non-testing services")))</f>
        <v/>
      </c>
    </row>
    <row r="79" customFormat="false" ht="15" hidden="false" customHeight="false" outlineLevel="0" collapsed="false">
      <c r="A79" s="13"/>
      <c r="B79" s="14"/>
      <c r="C79" s="15"/>
      <c r="D79" s="14"/>
      <c r="E79" s="13"/>
      <c r="F79" s="16" t="str">
        <f aca="false">IF(OR($B79="",$C79=""),"",IF($D79="",Assumptions!$C$13,$D79))</f>
        <v/>
      </c>
      <c r="G79" s="17" t="str">
        <f aca="false">IF(OR($B79="",$C79=""),"",$B79*1000000/12/$C79)</f>
        <v/>
      </c>
      <c r="H79" s="18" t="str">
        <f aca="false">IF(OR($B79="",$C79=""),"",$G79/$F79)</f>
        <v/>
      </c>
      <c r="I79" s="19" t="str">
        <f aca="false">IF(OR($B79="",$C79=""),"",$C79*$H79)</f>
        <v/>
      </c>
      <c r="J79" s="19" t="str">
        <f aca="false">IF(OR($B79="",$C79=""),"",Assumptions!$C$24*($H79*(1-$H79)+$H79*(1+Assumptions!$C$9)*(1-$H79*(1+Assumptions!$C$9)))/($H79*Assumptions!$C$9)^2)</f>
        <v/>
      </c>
      <c r="K79" s="19" t="str">
        <f aca="false">IF(OR($B79="",$C79=""),"",$C79/Assumptions!$C$14*Assumptions!$C$11)</f>
        <v/>
      </c>
      <c r="L79" s="20" t="str">
        <f aca="false">IF(OR($B79="",$C79=""),"",$J79*Assumptions!$C$10/$K79)</f>
        <v/>
      </c>
      <c r="M79" s="21" t="str">
        <f aca="false">IF(OR($B79="",$C79=""),"",MIN(Assumptions!$C$20,52/MAX($L79,Assumptions!$C$12)))</f>
        <v/>
      </c>
      <c r="N79" s="22" t="str">
        <f aca="false">IF(OR($B79="",$C79=""),"",SQRT(Assumptions!$C$24)*SQRT(2*$H79*(1-$H79)/($K79*4/Assumptions!$C$10))/$H79)</f>
        <v/>
      </c>
      <c r="O79" s="23" t="str">
        <f aca="false">IF(OR($B79="",$C79=""),"",IF(AND($L79&lt;=Assumptions!$C$16,$B79&gt;=Assumptions!$C$17),"Tier 1",IF(AND($L79&lt;=Assumptions!$C$18,$B79&gt;=Assumptions!$C$19),"Tier 2","Tier 3")))</f>
        <v/>
      </c>
      <c r="P79" s="24" t="str">
        <f aca="false">IF(OR($B79="",$C79=""),"",IF($O79="Tier 1","Pursue — offer trial; plan 2-week tests",IF($O79="Tier 2","Qualify — trial only on top-traffic pages, bold tests (≥10% lift)","Don't trial A/B — nurture or sell non-testing services")))</f>
        <v/>
      </c>
    </row>
    <row r="80" customFormat="false" ht="15" hidden="false" customHeight="false" outlineLevel="0" collapsed="false">
      <c r="A80" s="13"/>
      <c r="B80" s="14"/>
      <c r="C80" s="15"/>
      <c r="D80" s="14"/>
      <c r="E80" s="13"/>
      <c r="F80" s="16" t="str">
        <f aca="false">IF(OR($B80="",$C80=""),"",IF($D80="",Assumptions!$C$13,$D80))</f>
        <v/>
      </c>
      <c r="G80" s="17" t="str">
        <f aca="false">IF(OR($B80="",$C80=""),"",$B80*1000000/12/$C80)</f>
        <v/>
      </c>
      <c r="H80" s="18" t="str">
        <f aca="false">IF(OR($B80="",$C80=""),"",$G80/$F80)</f>
        <v/>
      </c>
      <c r="I80" s="19" t="str">
        <f aca="false">IF(OR($B80="",$C80=""),"",$C80*$H80)</f>
        <v/>
      </c>
      <c r="J80" s="19" t="str">
        <f aca="false">IF(OR($B80="",$C80=""),"",Assumptions!$C$24*($H80*(1-$H80)+$H80*(1+Assumptions!$C$9)*(1-$H80*(1+Assumptions!$C$9)))/($H80*Assumptions!$C$9)^2)</f>
        <v/>
      </c>
      <c r="K80" s="19" t="str">
        <f aca="false">IF(OR($B80="",$C80=""),"",$C80/Assumptions!$C$14*Assumptions!$C$11)</f>
        <v/>
      </c>
      <c r="L80" s="20" t="str">
        <f aca="false">IF(OR($B80="",$C80=""),"",$J80*Assumptions!$C$10/$K80)</f>
        <v/>
      </c>
      <c r="M80" s="21" t="str">
        <f aca="false">IF(OR($B80="",$C80=""),"",MIN(Assumptions!$C$20,52/MAX($L80,Assumptions!$C$12)))</f>
        <v/>
      </c>
      <c r="N80" s="22" t="str">
        <f aca="false">IF(OR($B80="",$C80=""),"",SQRT(Assumptions!$C$24)*SQRT(2*$H80*(1-$H80)/($K80*4/Assumptions!$C$10))/$H80)</f>
        <v/>
      </c>
      <c r="O80" s="23" t="str">
        <f aca="false">IF(OR($B80="",$C80=""),"",IF(AND($L80&lt;=Assumptions!$C$16,$B80&gt;=Assumptions!$C$17),"Tier 1",IF(AND($L80&lt;=Assumptions!$C$18,$B80&gt;=Assumptions!$C$19),"Tier 2","Tier 3")))</f>
        <v/>
      </c>
      <c r="P80" s="24" t="str">
        <f aca="false">IF(OR($B80="",$C80=""),"",IF($O80="Tier 1","Pursue — offer trial; plan 2-week tests",IF($O80="Tier 2","Qualify — trial only on top-traffic pages, bold tests (≥10% lift)","Don't trial A/B — nurture or sell non-testing services")))</f>
        <v/>
      </c>
    </row>
    <row r="81" customFormat="false" ht="15" hidden="false" customHeight="false" outlineLevel="0" collapsed="false">
      <c r="A81" s="13"/>
      <c r="B81" s="14"/>
      <c r="C81" s="15"/>
      <c r="D81" s="14"/>
      <c r="E81" s="13"/>
      <c r="F81" s="16" t="str">
        <f aca="false">IF(OR($B81="",$C81=""),"",IF($D81="",Assumptions!$C$13,$D81))</f>
        <v/>
      </c>
      <c r="G81" s="17" t="str">
        <f aca="false">IF(OR($B81="",$C81=""),"",$B81*1000000/12/$C81)</f>
        <v/>
      </c>
      <c r="H81" s="18" t="str">
        <f aca="false">IF(OR($B81="",$C81=""),"",$G81/$F81)</f>
        <v/>
      </c>
      <c r="I81" s="19" t="str">
        <f aca="false">IF(OR($B81="",$C81=""),"",$C81*$H81)</f>
        <v/>
      </c>
      <c r="J81" s="19" t="str">
        <f aca="false">IF(OR($B81="",$C81=""),"",Assumptions!$C$24*($H81*(1-$H81)+$H81*(1+Assumptions!$C$9)*(1-$H81*(1+Assumptions!$C$9)))/($H81*Assumptions!$C$9)^2)</f>
        <v/>
      </c>
      <c r="K81" s="19" t="str">
        <f aca="false">IF(OR($B81="",$C81=""),"",$C81/Assumptions!$C$14*Assumptions!$C$11)</f>
        <v/>
      </c>
      <c r="L81" s="20" t="str">
        <f aca="false">IF(OR($B81="",$C81=""),"",$J81*Assumptions!$C$10/$K81)</f>
        <v/>
      </c>
      <c r="M81" s="21" t="str">
        <f aca="false">IF(OR($B81="",$C81=""),"",MIN(Assumptions!$C$20,52/MAX($L81,Assumptions!$C$12)))</f>
        <v/>
      </c>
      <c r="N81" s="22" t="str">
        <f aca="false">IF(OR($B81="",$C81=""),"",SQRT(Assumptions!$C$24)*SQRT(2*$H81*(1-$H81)/($K81*4/Assumptions!$C$10))/$H81)</f>
        <v/>
      </c>
      <c r="O81" s="23" t="str">
        <f aca="false">IF(OR($B81="",$C81=""),"",IF(AND($L81&lt;=Assumptions!$C$16,$B81&gt;=Assumptions!$C$17),"Tier 1",IF(AND($L81&lt;=Assumptions!$C$18,$B81&gt;=Assumptions!$C$19),"Tier 2","Tier 3")))</f>
        <v/>
      </c>
      <c r="P81" s="24" t="str">
        <f aca="false">IF(OR($B81="",$C81=""),"",IF($O81="Tier 1","Pursue — offer trial; plan 2-week tests",IF($O81="Tier 2","Qualify — trial only on top-traffic pages, bold tests (≥10% lift)","Don't trial A/B — nurture or sell non-testing services")))</f>
        <v/>
      </c>
    </row>
    <row r="82" customFormat="false" ht="15" hidden="false" customHeight="false" outlineLevel="0" collapsed="false">
      <c r="A82" s="13"/>
      <c r="B82" s="14"/>
      <c r="C82" s="15"/>
      <c r="D82" s="14"/>
      <c r="E82" s="13"/>
      <c r="F82" s="16" t="str">
        <f aca="false">IF(OR($B82="",$C82=""),"",IF($D82="",Assumptions!$C$13,$D82))</f>
        <v/>
      </c>
      <c r="G82" s="17" t="str">
        <f aca="false">IF(OR($B82="",$C82=""),"",$B82*1000000/12/$C82)</f>
        <v/>
      </c>
      <c r="H82" s="18" t="str">
        <f aca="false">IF(OR($B82="",$C82=""),"",$G82/$F82)</f>
        <v/>
      </c>
      <c r="I82" s="19" t="str">
        <f aca="false">IF(OR($B82="",$C82=""),"",$C82*$H82)</f>
        <v/>
      </c>
      <c r="J82" s="19" t="str">
        <f aca="false">IF(OR($B82="",$C82=""),"",Assumptions!$C$24*($H82*(1-$H82)+$H82*(1+Assumptions!$C$9)*(1-$H82*(1+Assumptions!$C$9)))/($H82*Assumptions!$C$9)^2)</f>
        <v/>
      </c>
      <c r="K82" s="19" t="str">
        <f aca="false">IF(OR($B82="",$C82=""),"",$C82/Assumptions!$C$14*Assumptions!$C$11)</f>
        <v/>
      </c>
      <c r="L82" s="20" t="str">
        <f aca="false">IF(OR($B82="",$C82=""),"",$J82*Assumptions!$C$10/$K82)</f>
        <v/>
      </c>
      <c r="M82" s="21" t="str">
        <f aca="false">IF(OR($B82="",$C82=""),"",MIN(Assumptions!$C$20,52/MAX($L82,Assumptions!$C$12)))</f>
        <v/>
      </c>
      <c r="N82" s="22" t="str">
        <f aca="false">IF(OR($B82="",$C82=""),"",SQRT(Assumptions!$C$24)*SQRT(2*$H82*(1-$H82)/($K82*4/Assumptions!$C$10))/$H82)</f>
        <v/>
      </c>
      <c r="O82" s="23" t="str">
        <f aca="false">IF(OR($B82="",$C82=""),"",IF(AND($L82&lt;=Assumptions!$C$16,$B82&gt;=Assumptions!$C$17),"Tier 1",IF(AND($L82&lt;=Assumptions!$C$18,$B82&gt;=Assumptions!$C$19),"Tier 2","Tier 3")))</f>
        <v/>
      </c>
      <c r="P82" s="24" t="str">
        <f aca="false">IF(OR($B82="",$C82=""),"",IF($O82="Tier 1","Pursue — offer trial; plan 2-week tests",IF($O82="Tier 2","Qualify — trial only on top-traffic pages, bold tests (≥10% lift)","Don't trial A/B — nurture or sell non-testing services")))</f>
        <v/>
      </c>
    </row>
    <row r="83" customFormat="false" ht="15" hidden="false" customHeight="false" outlineLevel="0" collapsed="false">
      <c r="A83" s="13"/>
      <c r="B83" s="14"/>
      <c r="C83" s="15"/>
      <c r="D83" s="14"/>
      <c r="E83" s="13"/>
      <c r="F83" s="16" t="str">
        <f aca="false">IF(OR($B83="",$C83=""),"",IF($D83="",Assumptions!$C$13,$D83))</f>
        <v/>
      </c>
      <c r="G83" s="17" t="str">
        <f aca="false">IF(OR($B83="",$C83=""),"",$B83*1000000/12/$C83)</f>
        <v/>
      </c>
      <c r="H83" s="18" t="str">
        <f aca="false">IF(OR($B83="",$C83=""),"",$G83/$F83)</f>
        <v/>
      </c>
      <c r="I83" s="19" t="str">
        <f aca="false">IF(OR($B83="",$C83=""),"",$C83*$H83)</f>
        <v/>
      </c>
      <c r="J83" s="19" t="str">
        <f aca="false">IF(OR($B83="",$C83=""),"",Assumptions!$C$24*($H83*(1-$H83)+$H83*(1+Assumptions!$C$9)*(1-$H83*(1+Assumptions!$C$9)))/($H83*Assumptions!$C$9)^2)</f>
        <v/>
      </c>
      <c r="K83" s="19" t="str">
        <f aca="false">IF(OR($B83="",$C83=""),"",$C83/Assumptions!$C$14*Assumptions!$C$11)</f>
        <v/>
      </c>
      <c r="L83" s="20" t="str">
        <f aca="false">IF(OR($B83="",$C83=""),"",$J83*Assumptions!$C$10/$K83)</f>
        <v/>
      </c>
      <c r="M83" s="21" t="str">
        <f aca="false">IF(OR($B83="",$C83=""),"",MIN(Assumptions!$C$20,52/MAX($L83,Assumptions!$C$12)))</f>
        <v/>
      </c>
      <c r="N83" s="22" t="str">
        <f aca="false">IF(OR($B83="",$C83=""),"",SQRT(Assumptions!$C$24)*SQRT(2*$H83*(1-$H83)/($K83*4/Assumptions!$C$10))/$H83)</f>
        <v/>
      </c>
      <c r="O83" s="23" t="str">
        <f aca="false">IF(OR($B83="",$C83=""),"",IF(AND($L83&lt;=Assumptions!$C$16,$B83&gt;=Assumptions!$C$17),"Tier 1",IF(AND($L83&lt;=Assumptions!$C$18,$B83&gt;=Assumptions!$C$19),"Tier 2","Tier 3")))</f>
        <v/>
      </c>
      <c r="P83" s="24" t="str">
        <f aca="false">IF(OR($B83="",$C83=""),"",IF($O83="Tier 1","Pursue — offer trial; plan 2-week tests",IF($O83="Tier 2","Qualify — trial only on top-traffic pages, bold tests (≥10% lift)","Don't trial A/B — nurture or sell non-testing services")))</f>
        <v/>
      </c>
    </row>
    <row r="84" customFormat="false" ht="15" hidden="false" customHeight="false" outlineLevel="0" collapsed="false">
      <c r="A84" s="13"/>
      <c r="B84" s="14"/>
      <c r="C84" s="15"/>
      <c r="D84" s="14"/>
      <c r="E84" s="13"/>
      <c r="F84" s="16" t="str">
        <f aca="false">IF(OR($B84="",$C84=""),"",IF($D84="",Assumptions!$C$13,$D84))</f>
        <v/>
      </c>
      <c r="G84" s="17" t="str">
        <f aca="false">IF(OR($B84="",$C84=""),"",$B84*1000000/12/$C84)</f>
        <v/>
      </c>
      <c r="H84" s="18" t="str">
        <f aca="false">IF(OR($B84="",$C84=""),"",$G84/$F84)</f>
        <v/>
      </c>
      <c r="I84" s="19" t="str">
        <f aca="false">IF(OR($B84="",$C84=""),"",$C84*$H84)</f>
        <v/>
      </c>
      <c r="J84" s="19" t="str">
        <f aca="false">IF(OR($B84="",$C84=""),"",Assumptions!$C$24*($H84*(1-$H84)+$H84*(1+Assumptions!$C$9)*(1-$H84*(1+Assumptions!$C$9)))/($H84*Assumptions!$C$9)^2)</f>
        <v/>
      </c>
      <c r="K84" s="19" t="str">
        <f aca="false">IF(OR($B84="",$C84=""),"",$C84/Assumptions!$C$14*Assumptions!$C$11)</f>
        <v/>
      </c>
      <c r="L84" s="20" t="str">
        <f aca="false">IF(OR($B84="",$C84=""),"",$J84*Assumptions!$C$10/$K84)</f>
        <v/>
      </c>
      <c r="M84" s="21" t="str">
        <f aca="false">IF(OR($B84="",$C84=""),"",MIN(Assumptions!$C$20,52/MAX($L84,Assumptions!$C$12)))</f>
        <v/>
      </c>
      <c r="N84" s="22" t="str">
        <f aca="false">IF(OR($B84="",$C84=""),"",SQRT(Assumptions!$C$24)*SQRT(2*$H84*(1-$H84)/($K84*4/Assumptions!$C$10))/$H84)</f>
        <v/>
      </c>
      <c r="O84" s="23" t="str">
        <f aca="false">IF(OR($B84="",$C84=""),"",IF(AND($L84&lt;=Assumptions!$C$16,$B84&gt;=Assumptions!$C$17),"Tier 1",IF(AND($L84&lt;=Assumptions!$C$18,$B84&gt;=Assumptions!$C$19),"Tier 2","Tier 3")))</f>
        <v/>
      </c>
      <c r="P84" s="24" t="str">
        <f aca="false">IF(OR($B84="",$C84=""),"",IF($O84="Tier 1","Pursue — offer trial; plan 2-week tests",IF($O84="Tier 2","Qualify — trial only on top-traffic pages, bold tests (≥10% lift)","Don't trial A/B — nurture or sell non-testing services")))</f>
        <v/>
      </c>
    </row>
    <row r="85" customFormat="false" ht="15" hidden="false" customHeight="false" outlineLevel="0" collapsed="false">
      <c r="A85" s="13"/>
      <c r="B85" s="14"/>
      <c r="C85" s="15"/>
      <c r="D85" s="14"/>
      <c r="E85" s="13"/>
      <c r="F85" s="16" t="str">
        <f aca="false">IF(OR($B85="",$C85=""),"",IF($D85="",Assumptions!$C$13,$D85))</f>
        <v/>
      </c>
      <c r="G85" s="17" t="str">
        <f aca="false">IF(OR($B85="",$C85=""),"",$B85*1000000/12/$C85)</f>
        <v/>
      </c>
      <c r="H85" s="18" t="str">
        <f aca="false">IF(OR($B85="",$C85=""),"",$G85/$F85)</f>
        <v/>
      </c>
      <c r="I85" s="19" t="str">
        <f aca="false">IF(OR($B85="",$C85=""),"",$C85*$H85)</f>
        <v/>
      </c>
      <c r="J85" s="19" t="str">
        <f aca="false">IF(OR($B85="",$C85=""),"",Assumptions!$C$24*($H85*(1-$H85)+$H85*(1+Assumptions!$C$9)*(1-$H85*(1+Assumptions!$C$9)))/($H85*Assumptions!$C$9)^2)</f>
        <v/>
      </c>
      <c r="K85" s="19" t="str">
        <f aca="false">IF(OR($B85="",$C85=""),"",$C85/Assumptions!$C$14*Assumptions!$C$11)</f>
        <v/>
      </c>
      <c r="L85" s="20" t="str">
        <f aca="false">IF(OR($B85="",$C85=""),"",$J85*Assumptions!$C$10/$K85)</f>
        <v/>
      </c>
      <c r="M85" s="21" t="str">
        <f aca="false">IF(OR($B85="",$C85=""),"",MIN(Assumptions!$C$20,52/MAX($L85,Assumptions!$C$12)))</f>
        <v/>
      </c>
      <c r="N85" s="22" t="str">
        <f aca="false">IF(OR($B85="",$C85=""),"",SQRT(Assumptions!$C$24)*SQRT(2*$H85*(1-$H85)/($K85*4/Assumptions!$C$10))/$H85)</f>
        <v/>
      </c>
      <c r="O85" s="23" t="str">
        <f aca="false">IF(OR($B85="",$C85=""),"",IF(AND($L85&lt;=Assumptions!$C$16,$B85&gt;=Assumptions!$C$17),"Tier 1",IF(AND($L85&lt;=Assumptions!$C$18,$B85&gt;=Assumptions!$C$19),"Tier 2","Tier 3")))</f>
        <v/>
      </c>
      <c r="P85" s="24" t="str">
        <f aca="false">IF(OR($B85="",$C85=""),"",IF($O85="Tier 1","Pursue — offer trial; plan 2-week tests",IF($O85="Tier 2","Qualify — trial only on top-traffic pages, bold tests (≥10% lift)","Don't trial A/B — nurture or sell non-testing services")))</f>
        <v/>
      </c>
    </row>
    <row r="86" customFormat="false" ht="15" hidden="false" customHeight="false" outlineLevel="0" collapsed="false">
      <c r="A86" s="13"/>
      <c r="B86" s="14"/>
      <c r="C86" s="15"/>
      <c r="D86" s="14"/>
      <c r="E86" s="13"/>
      <c r="F86" s="16" t="str">
        <f aca="false">IF(OR($B86="",$C86=""),"",IF($D86="",Assumptions!$C$13,$D86))</f>
        <v/>
      </c>
      <c r="G86" s="17" t="str">
        <f aca="false">IF(OR($B86="",$C86=""),"",$B86*1000000/12/$C86)</f>
        <v/>
      </c>
      <c r="H86" s="18" t="str">
        <f aca="false">IF(OR($B86="",$C86=""),"",$G86/$F86)</f>
        <v/>
      </c>
      <c r="I86" s="19" t="str">
        <f aca="false">IF(OR($B86="",$C86=""),"",$C86*$H86)</f>
        <v/>
      </c>
      <c r="J86" s="19" t="str">
        <f aca="false">IF(OR($B86="",$C86=""),"",Assumptions!$C$24*($H86*(1-$H86)+$H86*(1+Assumptions!$C$9)*(1-$H86*(1+Assumptions!$C$9)))/($H86*Assumptions!$C$9)^2)</f>
        <v/>
      </c>
      <c r="K86" s="19" t="str">
        <f aca="false">IF(OR($B86="",$C86=""),"",$C86/Assumptions!$C$14*Assumptions!$C$11)</f>
        <v/>
      </c>
      <c r="L86" s="20" t="str">
        <f aca="false">IF(OR($B86="",$C86=""),"",$J86*Assumptions!$C$10/$K86)</f>
        <v/>
      </c>
      <c r="M86" s="21" t="str">
        <f aca="false">IF(OR($B86="",$C86=""),"",MIN(Assumptions!$C$20,52/MAX($L86,Assumptions!$C$12)))</f>
        <v/>
      </c>
      <c r="N86" s="22" t="str">
        <f aca="false">IF(OR($B86="",$C86=""),"",SQRT(Assumptions!$C$24)*SQRT(2*$H86*(1-$H86)/($K86*4/Assumptions!$C$10))/$H86)</f>
        <v/>
      </c>
      <c r="O86" s="23" t="str">
        <f aca="false">IF(OR($B86="",$C86=""),"",IF(AND($L86&lt;=Assumptions!$C$16,$B86&gt;=Assumptions!$C$17),"Tier 1",IF(AND($L86&lt;=Assumptions!$C$18,$B86&gt;=Assumptions!$C$19),"Tier 2","Tier 3")))</f>
        <v/>
      </c>
      <c r="P86" s="24" t="str">
        <f aca="false">IF(OR($B86="",$C86=""),"",IF($O86="Tier 1","Pursue — offer trial; plan 2-week tests",IF($O86="Tier 2","Qualify — trial only on top-traffic pages, bold tests (≥10% lift)","Don't trial A/B — nurture or sell non-testing services")))</f>
        <v/>
      </c>
    </row>
    <row r="87" customFormat="false" ht="15" hidden="false" customHeight="false" outlineLevel="0" collapsed="false">
      <c r="A87" s="13"/>
      <c r="B87" s="14"/>
      <c r="C87" s="15"/>
      <c r="D87" s="14"/>
      <c r="E87" s="13"/>
      <c r="F87" s="16" t="str">
        <f aca="false">IF(OR($B87="",$C87=""),"",IF($D87="",Assumptions!$C$13,$D87))</f>
        <v/>
      </c>
      <c r="G87" s="17" t="str">
        <f aca="false">IF(OR($B87="",$C87=""),"",$B87*1000000/12/$C87)</f>
        <v/>
      </c>
      <c r="H87" s="18" t="str">
        <f aca="false">IF(OR($B87="",$C87=""),"",$G87/$F87)</f>
        <v/>
      </c>
      <c r="I87" s="19" t="str">
        <f aca="false">IF(OR($B87="",$C87=""),"",$C87*$H87)</f>
        <v/>
      </c>
      <c r="J87" s="19" t="str">
        <f aca="false">IF(OR($B87="",$C87=""),"",Assumptions!$C$24*($H87*(1-$H87)+$H87*(1+Assumptions!$C$9)*(1-$H87*(1+Assumptions!$C$9)))/($H87*Assumptions!$C$9)^2)</f>
        <v/>
      </c>
      <c r="K87" s="19" t="str">
        <f aca="false">IF(OR($B87="",$C87=""),"",$C87/Assumptions!$C$14*Assumptions!$C$11)</f>
        <v/>
      </c>
      <c r="L87" s="20" t="str">
        <f aca="false">IF(OR($B87="",$C87=""),"",$J87*Assumptions!$C$10/$K87)</f>
        <v/>
      </c>
      <c r="M87" s="21" t="str">
        <f aca="false">IF(OR($B87="",$C87=""),"",MIN(Assumptions!$C$20,52/MAX($L87,Assumptions!$C$12)))</f>
        <v/>
      </c>
      <c r="N87" s="22" t="str">
        <f aca="false">IF(OR($B87="",$C87=""),"",SQRT(Assumptions!$C$24)*SQRT(2*$H87*(1-$H87)/($K87*4/Assumptions!$C$10))/$H87)</f>
        <v/>
      </c>
      <c r="O87" s="23" t="str">
        <f aca="false">IF(OR($B87="",$C87=""),"",IF(AND($L87&lt;=Assumptions!$C$16,$B87&gt;=Assumptions!$C$17),"Tier 1",IF(AND($L87&lt;=Assumptions!$C$18,$B87&gt;=Assumptions!$C$19),"Tier 2","Tier 3")))</f>
        <v/>
      </c>
      <c r="P87" s="24" t="str">
        <f aca="false">IF(OR($B87="",$C87=""),"",IF($O87="Tier 1","Pursue — offer trial; plan 2-week tests",IF($O87="Tier 2","Qualify — trial only on top-traffic pages, bold tests (≥10% lift)","Don't trial A/B — nurture or sell non-testing services")))</f>
        <v/>
      </c>
    </row>
    <row r="88" customFormat="false" ht="15" hidden="false" customHeight="false" outlineLevel="0" collapsed="false">
      <c r="A88" s="13"/>
      <c r="B88" s="14"/>
      <c r="C88" s="15"/>
      <c r="D88" s="14"/>
      <c r="E88" s="13"/>
      <c r="F88" s="16" t="str">
        <f aca="false">IF(OR($B88="",$C88=""),"",IF($D88="",Assumptions!$C$13,$D88))</f>
        <v/>
      </c>
      <c r="G88" s="17" t="str">
        <f aca="false">IF(OR($B88="",$C88=""),"",$B88*1000000/12/$C88)</f>
        <v/>
      </c>
      <c r="H88" s="18" t="str">
        <f aca="false">IF(OR($B88="",$C88=""),"",$G88/$F88)</f>
        <v/>
      </c>
      <c r="I88" s="19" t="str">
        <f aca="false">IF(OR($B88="",$C88=""),"",$C88*$H88)</f>
        <v/>
      </c>
      <c r="J88" s="19" t="str">
        <f aca="false">IF(OR($B88="",$C88=""),"",Assumptions!$C$24*($H88*(1-$H88)+$H88*(1+Assumptions!$C$9)*(1-$H88*(1+Assumptions!$C$9)))/($H88*Assumptions!$C$9)^2)</f>
        <v/>
      </c>
      <c r="K88" s="19" t="str">
        <f aca="false">IF(OR($B88="",$C88=""),"",$C88/Assumptions!$C$14*Assumptions!$C$11)</f>
        <v/>
      </c>
      <c r="L88" s="20" t="str">
        <f aca="false">IF(OR($B88="",$C88=""),"",$J88*Assumptions!$C$10/$K88)</f>
        <v/>
      </c>
      <c r="M88" s="21" t="str">
        <f aca="false">IF(OR($B88="",$C88=""),"",MIN(Assumptions!$C$20,52/MAX($L88,Assumptions!$C$12)))</f>
        <v/>
      </c>
      <c r="N88" s="22" t="str">
        <f aca="false">IF(OR($B88="",$C88=""),"",SQRT(Assumptions!$C$24)*SQRT(2*$H88*(1-$H88)/($K88*4/Assumptions!$C$10))/$H88)</f>
        <v/>
      </c>
      <c r="O88" s="23" t="str">
        <f aca="false">IF(OR($B88="",$C88=""),"",IF(AND($L88&lt;=Assumptions!$C$16,$B88&gt;=Assumptions!$C$17),"Tier 1",IF(AND($L88&lt;=Assumptions!$C$18,$B88&gt;=Assumptions!$C$19),"Tier 2","Tier 3")))</f>
        <v/>
      </c>
      <c r="P88" s="24" t="str">
        <f aca="false">IF(OR($B88="",$C88=""),"",IF($O88="Tier 1","Pursue — offer trial; plan 2-week tests",IF($O88="Tier 2","Qualify — trial only on top-traffic pages, bold tests (≥10% lift)","Don't trial A/B — nurture or sell non-testing services")))</f>
        <v/>
      </c>
    </row>
    <row r="89" customFormat="false" ht="15" hidden="false" customHeight="false" outlineLevel="0" collapsed="false">
      <c r="A89" s="13"/>
      <c r="B89" s="14"/>
      <c r="C89" s="15"/>
      <c r="D89" s="14"/>
      <c r="E89" s="13"/>
      <c r="F89" s="16" t="str">
        <f aca="false">IF(OR($B89="",$C89=""),"",IF($D89="",Assumptions!$C$13,$D89))</f>
        <v/>
      </c>
      <c r="G89" s="17" t="str">
        <f aca="false">IF(OR($B89="",$C89=""),"",$B89*1000000/12/$C89)</f>
        <v/>
      </c>
      <c r="H89" s="18" t="str">
        <f aca="false">IF(OR($B89="",$C89=""),"",$G89/$F89)</f>
        <v/>
      </c>
      <c r="I89" s="19" t="str">
        <f aca="false">IF(OR($B89="",$C89=""),"",$C89*$H89)</f>
        <v/>
      </c>
      <c r="J89" s="19" t="str">
        <f aca="false">IF(OR($B89="",$C89=""),"",Assumptions!$C$24*($H89*(1-$H89)+$H89*(1+Assumptions!$C$9)*(1-$H89*(1+Assumptions!$C$9)))/($H89*Assumptions!$C$9)^2)</f>
        <v/>
      </c>
      <c r="K89" s="19" t="str">
        <f aca="false">IF(OR($B89="",$C89=""),"",$C89/Assumptions!$C$14*Assumptions!$C$11)</f>
        <v/>
      </c>
      <c r="L89" s="20" t="str">
        <f aca="false">IF(OR($B89="",$C89=""),"",$J89*Assumptions!$C$10/$K89)</f>
        <v/>
      </c>
      <c r="M89" s="21" t="str">
        <f aca="false">IF(OR($B89="",$C89=""),"",MIN(Assumptions!$C$20,52/MAX($L89,Assumptions!$C$12)))</f>
        <v/>
      </c>
      <c r="N89" s="22" t="str">
        <f aca="false">IF(OR($B89="",$C89=""),"",SQRT(Assumptions!$C$24)*SQRT(2*$H89*(1-$H89)/($K89*4/Assumptions!$C$10))/$H89)</f>
        <v/>
      </c>
      <c r="O89" s="23" t="str">
        <f aca="false">IF(OR($B89="",$C89=""),"",IF(AND($L89&lt;=Assumptions!$C$16,$B89&gt;=Assumptions!$C$17),"Tier 1",IF(AND($L89&lt;=Assumptions!$C$18,$B89&gt;=Assumptions!$C$19),"Tier 2","Tier 3")))</f>
        <v/>
      </c>
      <c r="P89" s="24" t="str">
        <f aca="false">IF(OR($B89="",$C89=""),"",IF($O89="Tier 1","Pursue — offer trial; plan 2-week tests",IF($O89="Tier 2","Qualify — trial only on top-traffic pages, bold tests (≥10% lift)","Don't trial A/B — nurture or sell non-testing services")))</f>
        <v/>
      </c>
    </row>
    <row r="90" customFormat="false" ht="15" hidden="false" customHeight="false" outlineLevel="0" collapsed="false">
      <c r="A90" s="13"/>
      <c r="B90" s="14"/>
      <c r="C90" s="15"/>
      <c r="D90" s="14"/>
      <c r="E90" s="13"/>
      <c r="F90" s="16" t="str">
        <f aca="false">IF(OR($B90="",$C90=""),"",IF($D90="",Assumptions!$C$13,$D90))</f>
        <v/>
      </c>
      <c r="G90" s="17" t="str">
        <f aca="false">IF(OR($B90="",$C90=""),"",$B90*1000000/12/$C90)</f>
        <v/>
      </c>
      <c r="H90" s="18" t="str">
        <f aca="false">IF(OR($B90="",$C90=""),"",$G90/$F90)</f>
        <v/>
      </c>
      <c r="I90" s="19" t="str">
        <f aca="false">IF(OR($B90="",$C90=""),"",$C90*$H90)</f>
        <v/>
      </c>
      <c r="J90" s="19" t="str">
        <f aca="false">IF(OR($B90="",$C90=""),"",Assumptions!$C$24*($H90*(1-$H90)+$H90*(1+Assumptions!$C$9)*(1-$H90*(1+Assumptions!$C$9)))/($H90*Assumptions!$C$9)^2)</f>
        <v/>
      </c>
      <c r="K90" s="19" t="str">
        <f aca="false">IF(OR($B90="",$C90=""),"",$C90/Assumptions!$C$14*Assumptions!$C$11)</f>
        <v/>
      </c>
      <c r="L90" s="20" t="str">
        <f aca="false">IF(OR($B90="",$C90=""),"",$J90*Assumptions!$C$10/$K90)</f>
        <v/>
      </c>
      <c r="M90" s="21" t="str">
        <f aca="false">IF(OR($B90="",$C90=""),"",MIN(Assumptions!$C$20,52/MAX($L90,Assumptions!$C$12)))</f>
        <v/>
      </c>
      <c r="N90" s="22" t="str">
        <f aca="false">IF(OR($B90="",$C90=""),"",SQRT(Assumptions!$C$24)*SQRT(2*$H90*(1-$H90)/($K90*4/Assumptions!$C$10))/$H90)</f>
        <v/>
      </c>
      <c r="O90" s="23" t="str">
        <f aca="false">IF(OR($B90="",$C90=""),"",IF(AND($L90&lt;=Assumptions!$C$16,$B90&gt;=Assumptions!$C$17),"Tier 1",IF(AND($L90&lt;=Assumptions!$C$18,$B90&gt;=Assumptions!$C$19),"Tier 2","Tier 3")))</f>
        <v/>
      </c>
      <c r="P90" s="24" t="str">
        <f aca="false">IF(OR($B90="",$C90=""),"",IF($O90="Tier 1","Pursue — offer trial; plan 2-week tests",IF($O90="Tier 2","Qualify — trial only on top-traffic pages, bold tests (≥10% lift)","Don't trial A/B — nurture or sell non-testing services")))</f>
        <v/>
      </c>
    </row>
    <row r="91" customFormat="false" ht="15" hidden="false" customHeight="false" outlineLevel="0" collapsed="false">
      <c r="A91" s="13"/>
      <c r="B91" s="14"/>
      <c r="C91" s="15"/>
      <c r="D91" s="14"/>
      <c r="E91" s="13"/>
      <c r="F91" s="16" t="str">
        <f aca="false">IF(OR($B91="",$C91=""),"",IF($D91="",Assumptions!$C$13,$D91))</f>
        <v/>
      </c>
      <c r="G91" s="17" t="str">
        <f aca="false">IF(OR($B91="",$C91=""),"",$B91*1000000/12/$C91)</f>
        <v/>
      </c>
      <c r="H91" s="18" t="str">
        <f aca="false">IF(OR($B91="",$C91=""),"",$G91/$F91)</f>
        <v/>
      </c>
      <c r="I91" s="19" t="str">
        <f aca="false">IF(OR($B91="",$C91=""),"",$C91*$H91)</f>
        <v/>
      </c>
      <c r="J91" s="19" t="str">
        <f aca="false">IF(OR($B91="",$C91=""),"",Assumptions!$C$24*($H91*(1-$H91)+$H91*(1+Assumptions!$C$9)*(1-$H91*(1+Assumptions!$C$9)))/($H91*Assumptions!$C$9)^2)</f>
        <v/>
      </c>
      <c r="K91" s="19" t="str">
        <f aca="false">IF(OR($B91="",$C91=""),"",$C91/Assumptions!$C$14*Assumptions!$C$11)</f>
        <v/>
      </c>
      <c r="L91" s="20" t="str">
        <f aca="false">IF(OR($B91="",$C91=""),"",$J91*Assumptions!$C$10/$K91)</f>
        <v/>
      </c>
      <c r="M91" s="21" t="str">
        <f aca="false">IF(OR($B91="",$C91=""),"",MIN(Assumptions!$C$20,52/MAX($L91,Assumptions!$C$12)))</f>
        <v/>
      </c>
      <c r="N91" s="22" t="str">
        <f aca="false">IF(OR($B91="",$C91=""),"",SQRT(Assumptions!$C$24)*SQRT(2*$H91*(1-$H91)/($K91*4/Assumptions!$C$10))/$H91)</f>
        <v/>
      </c>
      <c r="O91" s="23" t="str">
        <f aca="false">IF(OR($B91="",$C91=""),"",IF(AND($L91&lt;=Assumptions!$C$16,$B91&gt;=Assumptions!$C$17),"Tier 1",IF(AND($L91&lt;=Assumptions!$C$18,$B91&gt;=Assumptions!$C$19),"Tier 2","Tier 3")))</f>
        <v/>
      </c>
      <c r="P91" s="24" t="str">
        <f aca="false">IF(OR($B91="",$C91=""),"",IF($O91="Tier 1","Pursue — offer trial; plan 2-week tests",IF($O91="Tier 2","Qualify — trial only on top-traffic pages, bold tests (≥10% lift)","Don't trial A/B — nurture or sell non-testing services")))</f>
        <v/>
      </c>
    </row>
    <row r="92" customFormat="false" ht="15" hidden="false" customHeight="false" outlineLevel="0" collapsed="false">
      <c r="A92" s="13"/>
      <c r="B92" s="14"/>
      <c r="C92" s="15"/>
      <c r="D92" s="14"/>
      <c r="E92" s="13"/>
      <c r="F92" s="16" t="str">
        <f aca="false">IF(OR($B92="",$C92=""),"",IF($D92="",Assumptions!$C$13,$D92))</f>
        <v/>
      </c>
      <c r="G92" s="17" t="str">
        <f aca="false">IF(OR($B92="",$C92=""),"",$B92*1000000/12/$C92)</f>
        <v/>
      </c>
      <c r="H92" s="18" t="str">
        <f aca="false">IF(OR($B92="",$C92=""),"",$G92/$F92)</f>
        <v/>
      </c>
      <c r="I92" s="19" t="str">
        <f aca="false">IF(OR($B92="",$C92=""),"",$C92*$H92)</f>
        <v/>
      </c>
      <c r="J92" s="19" t="str">
        <f aca="false">IF(OR($B92="",$C92=""),"",Assumptions!$C$24*($H92*(1-$H92)+$H92*(1+Assumptions!$C$9)*(1-$H92*(1+Assumptions!$C$9)))/($H92*Assumptions!$C$9)^2)</f>
        <v/>
      </c>
      <c r="K92" s="19" t="str">
        <f aca="false">IF(OR($B92="",$C92=""),"",$C92/Assumptions!$C$14*Assumptions!$C$11)</f>
        <v/>
      </c>
      <c r="L92" s="20" t="str">
        <f aca="false">IF(OR($B92="",$C92=""),"",$J92*Assumptions!$C$10/$K92)</f>
        <v/>
      </c>
      <c r="M92" s="21" t="str">
        <f aca="false">IF(OR($B92="",$C92=""),"",MIN(Assumptions!$C$20,52/MAX($L92,Assumptions!$C$12)))</f>
        <v/>
      </c>
      <c r="N92" s="22" t="str">
        <f aca="false">IF(OR($B92="",$C92=""),"",SQRT(Assumptions!$C$24)*SQRT(2*$H92*(1-$H92)/($K92*4/Assumptions!$C$10))/$H92)</f>
        <v/>
      </c>
      <c r="O92" s="23" t="str">
        <f aca="false">IF(OR($B92="",$C92=""),"",IF(AND($L92&lt;=Assumptions!$C$16,$B92&gt;=Assumptions!$C$17),"Tier 1",IF(AND($L92&lt;=Assumptions!$C$18,$B92&gt;=Assumptions!$C$19),"Tier 2","Tier 3")))</f>
        <v/>
      </c>
      <c r="P92" s="24" t="str">
        <f aca="false">IF(OR($B92="",$C92=""),"",IF($O92="Tier 1","Pursue — offer trial; plan 2-week tests",IF($O92="Tier 2","Qualify — trial only on top-traffic pages, bold tests (≥10% lift)","Don't trial A/B — nurture or sell non-testing services")))</f>
        <v/>
      </c>
    </row>
    <row r="93" customFormat="false" ht="15" hidden="false" customHeight="false" outlineLevel="0" collapsed="false">
      <c r="A93" s="13"/>
      <c r="B93" s="14"/>
      <c r="C93" s="15"/>
      <c r="D93" s="14"/>
      <c r="E93" s="13"/>
      <c r="F93" s="16" t="str">
        <f aca="false">IF(OR($B93="",$C93=""),"",IF($D93="",Assumptions!$C$13,$D93))</f>
        <v/>
      </c>
      <c r="G93" s="17" t="str">
        <f aca="false">IF(OR($B93="",$C93=""),"",$B93*1000000/12/$C93)</f>
        <v/>
      </c>
      <c r="H93" s="18" t="str">
        <f aca="false">IF(OR($B93="",$C93=""),"",$G93/$F93)</f>
        <v/>
      </c>
      <c r="I93" s="19" t="str">
        <f aca="false">IF(OR($B93="",$C93=""),"",$C93*$H93)</f>
        <v/>
      </c>
      <c r="J93" s="19" t="str">
        <f aca="false">IF(OR($B93="",$C93=""),"",Assumptions!$C$24*($H93*(1-$H93)+$H93*(1+Assumptions!$C$9)*(1-$H93*(1+Assumptions!$C$9)))/($H93*Assumptions!$C$9)^2)</f>
        <v/>
      </c>
      <c r="K93" s="19" t="str">
        <f aca="false">IF(OR($B93="",$C93=""),"",$C93/Assumptions!$C$14*Assumptions!$C$11)</f>
        <v/>
      </c>
      <c r="L93" s="20" t="str">
        <f aca="false">IF(OR($B93="",$C93=""),"",$J93*Assumptions!$C$10/$K93)</f>
        <v/>
      </c>
      <c r="M93" s="21" t="str">
        <f aca="false">IF(OR($B93="",$C93=""),"",MIN(Assumptions!$C$20,52/MAX($L93,Assumptions!$C$12)))</f>
        <v/>
      </c>
      <c r="N93" s="22" t="str">
        <f aca="false">IF(OR($B93="",$C93=""),"",SQRT(Assumptions!$C$24)*SQRT(2*$H93*(1-$H93)/($K93*4/Assumptions!$C$10))/$H93)</f>
        <v/>
      </c>
      <c r="O93" s="23" t="str">
        <f aca="false">IF(OR($B93="",$C93=""),"",IF(AND($L93&lt;=Assumptions!$C$16,$B93&gt;=Assumptions!$C$17),"Tier 1",IF(AND($L93&lt;=Assumptions!$C$18,$B93&gt;=Assumptions!$C$19),"Tier 2","Tier 3")))</f>
        <v/>
      </c>
      <c r="P93" s="24" t="str">
        <f aca="false">IF(OR($B93="",$C93=""),"",IF($O93="Tier 1","Pursue — offer trial; plan 2-week tests",IF($O93="Tier 2","Qualify — trial only on top-traffic pages, bold tests (≥10% lift)","Don't trial A/B — nurture or sell non-testing services")))</f>
        <v/>
      </c>
    </row>
    <row r="94" customFormat="false" ht="15" hidden="false" customHeight="false" outlineLevel="0" collapsed="false">
      <c r="A94" s="13"/>
      <c r="B94" s="14"/>
      <c r="C94" s="15"/>
      <c r="D94" s="14"/>
      <c r="E94" s="13"/>
      <c r="F94" s="16" t="str">
        <f aca="false">IF(OR($B94="",$C94=""),"",IF($D94="",Assumptions!$C$13,$D94))</f>
        <v/>
      </c>
      <c r="G94" s="17" t="str">
        <f aca="false">IF(OR($B94="",$C94=""),"",$B94*1000000/12/$C94)</f>
        <v/>
      </c>
      <c r="H94" s="18" t="str">
        <f aca="false">IF(OR($B94="",$C94=""),"",$G94/$F94)</f>
        <v/>
      </c>
      <c r="I94" s="19" t="str">
        <f aca="false">IF(OR($B94="",$C94=""),"",$C94*$H94)</f>
        <v/>
      </c>
      <c r="J94" s="19" t="str">
        <f aca="false">IF(OR($B94="",$C94=""),"",Assumptions!$C$24*($H94*(1-$H94)+$H94*(1+Assumptions!$C$9)*(1-$H94*(1+Assumptions!$C$9)))/($H94*Assumptions!$C$9)^2)</f>
        <v/>
      </c>
      <c r="K94" s="19" t="str">
        <f aca="false">IF(OR($B94="",$C94=""),"",$C94/Assumptions!$C$14*Assumptions!$C$11)</f>
        <v/>
      </c>
      <c r="L94" s="20" t="str">
        <f aca="false">IF(OR($B94="",$C94=""),"",$J94*Assumptions!$C$10/$K94)</f>
        <v/>
      </c>
      <c r="M94" s="21" t="str">
        <f aca="false">IF(OR($B94="",$C94=""),"",MIN(Assumptions!$C$20,52/MAX($L94,Assumptions!$C$12)))</f>
        <v/>
      </c>
      <c r="N94" s="22" t="str">
        <f aca="false">IF(OR($B94="",$C94=""),"",SQRT(Assumptions!$C$24)*SQRT(2*$H94*(1-$H94)/($K94*4/Assumptions!$C$10))/$H94)</f>
        <v/>
      </c>
      <c r="O94" s="23" t="str">
        <f aca="false">IF(OR($B94="",$C94=""),"",IF(AND($L94&lt;=Assumptions!$C$16,$B94&gt;=Assumptions!$C$17),"Tier 1",IF(AND($L94&lt;=Assumptions!$C$18,$B94&gt;=Assumptions!$C$19),"Tier 2","Tier 3")))</f>
        <v/>
      </c>
      <c r="P94" s="24" t="str">
        <f aca="false">IF(OR($B94="",$C94=""),"",IF($O94="Tier 1","Pursue — offer trial; plan 2-week tests",IF($O94="Tier 2","Qualify — trial only on top-traffic pages, bold tests (≥10% lift)","Don't trial A/B — nurture or sell non-testing services")))</f>
        <v/>
      </c>
    </row>
    <row r="95" customFormat="false" ht="15" hidden="false" customHeight="false" outlineLevel="0" collapsed="false">
      <c r="A95" s="13"/>
      <c r="B95" s="14"/>
      <c r="C95" s="15"/>
      <c r="D95" s="14"/>
      <c r="E95" s="13"/>
      <c r="F95" s="16" t="str">
        <f aca="false">IF(OR($B95="",$C95=""),"",IF($D95="",Assumptions!$C$13,$D95))</f>
        <v/>
      </c>
      <c r="G95" s="17" t="str">
        <f aca="false">IF(OR($B95="",$C95=""),"",$B95*1000000/12/$C95)</f>
        <v/>
      </c>
      <c r="H95" s="18" t="str">
        <f aca="false">IF(OR($B95="",$C95=""),"",$G95/$F95)</f>
        <v/>
      </c>
      <c r="I95" s="19" t="str">
        <f aca="false">IF(OR($B95="",$C95=""),"",$C95*$H95)</f>
        <v/>
      </c>
      <c r="J95" s="19" t="str">
        <f aca="false">IF(OR($B95="",$C95=""),"",Assumptions!$C$24*($H95*(1-$H95)+$H95*(1+Assumptions!$C$9)*(1-$H95*(1+Assumptions!$C$9)))/($H95*Assumptions!$C$9)^2)</f>
        <v/>
      </c>
      <c r="K95" s="19" t="str">
        <f aca="false">IF(OR($B95="",$C95=""),"",$C95/Assumptions!$C$14*Assumptions!$C$11)</f>
        <v/>
      </c>
      <c r="L95" s="20" t="str">
        <f aca="false">IF(OR($B95="",$C95=""),"",$J95*Assumptions!$C$10/$K95)</f>
        <v/>
      </c>
      <c r="M95" s="21" t="str">
        <f aca="false">IF(OR($B95="",$C95=""),"",MIN(Assumptions!$C$20,52/MAX($L95,Assumptions!$C$12)))</f>
        <v/>
      </c>
      <c r="N95" s="22" t="str">
        <f aca="false">IF(OR($B95="",$C95=""),"",SQRT(Assumptions!$C$24)*SQRT(2*$H95*(1-$H95)/($K95*4/Assumptions!$C$10))/$H95)</f>
        <v/>
      </c>
      <c r="O95" s="23" t="str">
        <f aca="false">IF(OR($B95="",$C95=""),"",IF(AND($L95&lt;=Assumptions!$C$16,$B95&gt;=Assumptions!$C$17),"Tier 1",IF(AND($L95&lt;=Assumptions!$C$18,$B95&gt;=Assumptions!$C$19),"Tier 2","Tier 3")))</f>
        <v/>
      </c>
      <c r="P95" s="24" t="str">
        <f aca="false">IF(OR($B95="",$C95=""),"",IF($O95="Tier 1","Pursue — offer trial; plan 2-week tests",IF($O95="Tier 2","Qualify — trial only on top-traffic pages, bold tests (≥10% lift)","Don't trial A/B — nurture or sell non-testing services")))</f>
        <v/>
      </c>
    </row>
    <row r="96" customFormat="false" ht="15" hidden="false" customHeight="false" outlineLevel="0" collapsed="false">
      <c r="A96" s="13"/>
      <c r="B96" s="14"/>
      <c r="C96" s="15"/>
      <c r="D96" s="14"/>
      <c r="E96" s="13"/>
      <c r="F96" s="16" t="str">
        <f aca="false">IF(OR($B96="",$C96=""),"",IF($D96="",Assumptions!$C$13,$D96))</f>
        <v/>
      </c>
      <c r="G96" s="17" t="str">
        <f aca="false">IF(OR($B96="",$C96=""),"",$B96*1000000/12/$C96)</f>
        <v/>
      </c>
      <c r="H96" s="18" t="str">
        <f aca="false">IF(OR($B96="",$C96=""),"",$G96/$F96)</f>
        <v/>
      </c>
      <c r="I96" s="19" t="str">
        <f aca="false">IF(OR($B96="",$C96=""),"",$C96*$H96)</f>
        <v/>
      </c>
      <c r="J96" s="19" t="str">
        <f aca="false">IF(OR($B96="",$C96=""),"",Assumptions!$C$24*($H96*(1-$H96)+$H96*(1+Assumptions!$C$9)*(1-$H96*(1+Assumptions!$C$9)))/($H96*Assumptions!$C$9)^2)</f>
        <v/>
      </c>
      <c r="K96" s="19" t="str">
        <f aca="false">IF(OR($B96="",$C96=""),"",$C96/Assumptions!$C$14*Assumptions!$C$11)</f>
        <v/>
      </c>
      <c r="L96" s="20" t="str">
        <f aca="false">IF(OR($B96="",$C96=""),"",$J96*Assumptions!$C$10/$K96)</f>
        <v/>
      </c>
      <c r="M96" s="21" t="str">
        <f aca="false">IF(OR($B96="",$C96=""),"",MIN(Assumptions!$C$20,52/MAX($L96,Assumptions!$C$12)))</f>
        <v/>
      </c>
      <c r="N96" s="22" t="str">
        <f aca="false">IF(OR($B96="",$C96=""),"",SQRT(Assumptions!$C$24)*SQRT(2*$H96*(1-$H96)/($K96*4/Assumptions!$C$10))/$H96)</f>
        <v/>
      </c>
      <c r="O96" s="23" t="str">
        <f aca="false">IF(OR($B96="",$C96=""),"",IF(AND($L96&lt;=Assumptions!$C$16,$B96&gt;=Assumptions!$C$17),"Tier 1",IF(AND($L96&lt;=Assumptions!$C$18,$B96&gt;=Assumptions!$C$19),"Tier 2","Tier 3")))</f>
        <v/>
      </c>
      <c r="P96" s="24" t="str">
        <f aca="false">IF(OR($B96="",$C96=""),"",IF($O96="Tier 1","Pursue — offer trial; plan 2-week tests",IF($O96="Tier 2","Qualify — trial only on top-traffic pages, bold tests (≥10% lift)","Don't trial A/B — nurture or sell non-testing services")))</f>
        <v/>
      </c>
    </row>
    <row r="97" customFormat="false" ht="15" hidden="false" customHeight="false" outlineLevel="0" collapsed="false">
      <c r="A97" s="13"/>
      <c r="B97" s="14"/>
      <c r="C97" s="15"/>
      <c r="D97" s="14"/>
      <c r="E97" s="13"/>
      <c r="F97" s="16" t="str">
        <f aca="false">IF(OR($B97="",$C97=""),"",IF($D97="",Assumptions!$C$13,$D97))</f>
        <v/>
      </c>
      <c r="G97" s="17" t="str">
        <f aca="false">IF(OR($B97="",$C97=""),"",$B97*1000000/12/$C97)</f>
        <v/>
      </c>
      <c r="H97" s="18" t="str">
        <f aca="false">IF(OR($B97="",$C97=""),"",$G97/$F97)</f>
        <v/>
      </c>
      <c r="I97" s="19" t="str">
        <f aca="false">IF(OR($B97="",$C97=""),"",$C97*$H97)</f>
        <v/>
      </c>
      <c r="J97" s="19" t="str">
        <f aca="false">IF(OR($B97="",$C97=""),"",Assumptions!$C$24*($H97*(1-$H97)+$H97*(1+Assumptions!$C$9)*(1-$H97*(1+Assumptions!$C$9)))/($H97*Assumptions!$C$9)^2)</f>
        <v/>
      </c>
      <c r="K97" s="19" t="str">
        <f aca="false">IF(OR($B97="",$C97=""),"",$C97/Assumptions!$C$14*Assumptions!$C$11)</f>
        <v/>
      </c>
      <c r="L97" s="20" t="str">
        <f aca="false">IF(OR($B97="",$C97=""),"",$J97*Assumptions!$C$10/$K97)</f>
        <v/>
      </c>
      <c r="M97" s="21" t="str">
        <f aca="false">IF(OR($B97="",$C97=""),"",MIN(Assumptions!$C$20,52/MAX($L97,Assumptions!$C$12)))</f>
        <v/>
      </c>
      <c r="N97" s="22" t="str">
        <f aca="false">IF(OR($B97="",$C97=""),"",SQRT(Assumptions!$C$24)*SQRT(2*$H97*(1-$H97)/($K97*4/Assumptions!$C$10))/$H97)</f>
        <v/>
      </c>
      <c r="O97" s="23" t="str">
        <f aca="false">IF(OR($B97="",$C97=""),"",IF(AND($L97&lt;=Assumptions!$C$16,$B97&gt;=Assumptions!$C$17),"Tier 1",IF(AND($L97&lt;=Assumptions!$C$18,$B97&gt;=Assumptions!$C$19),"Tier 2","Tier 3")))</f>
        <v/>
      </c>
      <c r="P97" s="24" t="str">
        <f aca="false">IF(OR($B97="",$C97=""),"",IF($O97="Tier 1","Pursue — offer trial; plan 2-week tests",IF($O97="Tier 2","Qualify — trial only on top-traffic pages, bold tests (≥10% lift)","Don't trial A/B — nurture or sell non-testing services")))</f>
        <v/>
      </c>
    </row>
    <row r="98" customFormat="false" ht="15" hidden="false" customHeight="false" outlineLevel="0" collapsed="false">
      <c r="A98" s="13"/>
      <c r="B98" s="14"/>
      <c r="C98" s="15"/>
      <c r="D98" s="14"/>
      <c r="E98" s="13"/>
      <c r="F98" s="16" t="str">
        <f aca="false">IF(OR($B98="",$C98=""),"",IF($D98="",Assumptions!$C$13,$D98))</f>
        <v/>
      </c>
      <c r="G98" s="17" t="str">
        <f aca="false">IF(OR($B98="",$C98=""),"",$B98*1000000/12/$C98)</f>
        <v/>
      </c>
      <c r="H98" s="18" t="str">
        <f aca="false">IF(OR($B98="",$C98=""),"",$G98/$F98)</f>
        <v/>
      </c>
      <c r="I98" s="19" t="str">
        <f aca="false">IF(OR($B98="",$C98=""),"",$C98*$H98)</f>
        <v/>
      </c>
      <c r="J98" s="19" t="str">
        <f aca="false">IF(OR($B98="",$C98=""),"",Assumptions!$C$24*($H98*(1-$H98)+$H98*(1+Assumptions!$C$9)*(1-$H98*(1+Assumptions!$C$9)))/($H98*Assumptions!$C$9)^2)</f>
        <v/>
      </c>
      <c r="K98" s="19" t="str">
        <f aca="false">IF(OR($B98="",$C98=""),"",$C98/Assumptions!$C$14*Assumptions!$C$11)</f>
        <v/>
      </c>
      <c r="L98" s="20" t="str">
        <f aca="false">IF(OR($B98="",$C98=""),"",$J98*Assumptions!$C$10/$K98)</f>
        <v/>
      </c>
      <c r="M98" s="21" t="str">
        <f aca="false">IF(OR($B98="",$C98=""),"",MIN(Assumptions!$C$20,52/MAX($L98,Assumptions!$C$12)))</f>
        <v/>
      </c>
      <c r="N98" s="22" t="str">
        <f aca="false">IF(OR($B98="",$C98=""),"",SQRT(Assumptions!$C$24)*SQRT(2*$H98*(1-$H98)/($K98*4/Assumptions!$C$10))/$H98)</f>
        <v/>
      </c>
      <c r="O98" s="23" t="str">
        <f aca="false">IF(OR($B98="",$C98=""),"",IF(AND($L98&lt;=Assumptions!$C$16,$B98&gt;=Assumptions!$C$17),"Tier 1",IF(AND($L98&lt;=Assumptions!$C$18,$B98&gt;=Assumptions!$C$19),"Tier 2","Tier 3")))</f>
        <v/>
      </c>
      <c r="P98" s="24" t="str">
        <f aca="false">IF(OR($B98="",$C98=""),"",IF($O98="Tier 1","Pursue — offer trial; plan 2-week tests",IF($O98="Tier 2","Qualify — trial only on top-traffic pages, bold tests (≥10% lift)","Don't trial A/B — nurture or sell non-testing services")))</f>
        <v/>
      </c>
    </row>
    <row r="99" customFormat="false" ht="15" hidden="false" customHeight="false" outlineLevel="0" collapsed="false">
      <c r="A99" s="13"/>
      <c r="B99" s="14"/>
      <c r="C99" s="15"/>
      <c r="D99" s="14"/>
      <c r="E99" s="13"/>
      <c r="F99" s="16" t="str">
        <f aca="false">IF(OR($B99="",$C99=""),"",IF($D99="",Assumptions!$C$13,$D99))</f>
        <v/>
      </c>
      <c r="G99" s="17" t="str">
        <f aca="false">IF(OR($B99="",$C99=""),"",$B99*1000000/12/$C99)</f>
        <v/>
      </c>
      <c r="H99" s="18" t="str">
        <f aca="false">IF(OR($B99="",$C99=""),"",$G99/$F99)</f>
        <v/>
      </c>
      <c r="I99" s="19" t="str">
        <f aca="false">IF(OR($B99="",$C99=""),"",$C99*$H99)</f>
        <v/>
      </c>
      <c r="J99" s="19" t="str">
        <f aca="false">IF(OR($B99="",$C99=""),"",Assumptions!$C$24*($H99*(1-$H99)+$H99*(1+Assumptions!$C$9)*(1-$H99*(1+Assumptions!$C$9)))/($H99*Assumptions!$C$9)^2)</f>
        <v/>
      </c>
      <c r="K99" s="19" t="str">
        <f aca="false">IF(OR($B99="",$C99=""),"",$C99/Assumptions!$C$14*Assumptions!$C$11)</f>
        <v/>
      </c>
      <c r="L99" s="20" t="str">
        <f aca="false">IF(OR($B99="",$C99=""),"",$J99*Assumptions!$C$10/$K99)</f>
        <v/>
      </c>
      <c r="M99" s="21" t="str">
        <f aca="false">IF(OR($B99="",$C99=""),"",MIN(Assumptions!$C$20,52/MAX($L99,Assumptions!$C$12)))</f>
        <v/>
      </c>
      <c r="N99" s="22" t="str">
        <f aca="false">IF(OR($B99="",$C99=""),"",SQRT(Assumptions!$C$24)*SQRT(2*$H99*(1-$H99)/($K99*4/Assumptions!$C$10))/$H99)</f>
        <v/>
      </c>
      <c r="O99" s="23" t="str">
        <f aca="false">IF(OR($B99="",$C99=""),"",IF(AND($L99&lt;=Assumptions!$C$16,$B99&gt;=Assumptions!$C$17),"Tier 1",IF(AND($L99&lt;=Assumptions!$C$18,$B99&gt;=Assumptions!$C$19),"Tier 2","Tier 3")))</f>
        <v/>
      </c>
      <c r="P99" s="24" t="str">
        <f aca="false">IF(OR($B99="",$C99=""),"",IF($O99="Tier 1","Pursue — offer trial; plan 2-week tests",IF($O99="Tier 2","Qualify — trial only on top-traffic pages, bold tests (≥10% lift)","Don't trial A/B — nurture or sell non-testing services")))</f>
        <v/>
      </c>
    </row>
    <row r="100" customFormat="false" ht="15" hidden="false" customHeight="false" outlineLevel="0" collapsed="false">
      <c r="A100" s="13"/>
      <c r="B100" s="14"/>
      <c r="C100" s="15"/>
      <c r="D100" s="14"/>
      <c r="E100" s="13"/>
      <c r="F100" s="16" t="str">
        <f aca="false">IF(OR($B100="",$C100=""),"",IF($D100="",Assumptions!$C$13,$D100))</f>
        <v/>
      </c>
      <c r="G100" s="17" t="str">
        <f aca="false">IF(OR($B100="",$C100=""),"",$B100*1000000/12/$C100)</f>
        <v/>
      </c>
      <c r="H100" s="18" t="str">
        <f aca="false">IF(OR($B100="",$C100=""),"",$G100/$F100)</f>
        <v/>
      </c>
      <c r="I100" s="19" t="str">
        <f aca="false">IF(OR($B100="",$C100=""),"",$C100*$H100)</f>
        <v/>
      </c>
      <c r="J100" s="19" t="str">
        <f aca="false">IF(OR($B100="",$C100=""),"",Assumptions!$C$24*($H100*(1-$H100)+$H100*(1+Assumptions!$C$9)*(1-$H100*(1+Assumptions!$C$9)))/($H100*Assumptions!$C$9)^2)</f>
        <v/>
      </c>
      <c r="K100" s="19" t="str">
        <f aca="false">IF(OR($B100="",$C100=""),"",$C100/Assumptions!$C$14*Assumptions!$C$11)</f>
        <v/>
      </c>
      <c r="L100" s="20" t="str">
        <f aca="false">IF(OR($B100="",$C100=""),"",$J100*Assumptions!$C$10/$K100)</f>
        <v/>
      </c>
      <c r="M100" s="21" t="str">
        <f aca="false">IF(OR($B100="",$C100=""),"",MIN(Assumptions!$C$20,52/MAX($L100,Assumptions!$C$12)))</f>
        <v/>
      </c>
      <c r="N100" s="22" t="str">
        <f aca="false">IF(OR($B100="",$C100=""),"",SQRT(Assumptions!$C$24)*SQRT(2*$H100*(1-$H100)/($K100*4/Assumptions!$C$10))/$H100)</f>
        <v/>
      </c>
      <c r="O100" s="23" t="str">
        <f aca="false">IF(OR($B100="",$C100=""),"",IF(AND($L100&lt;=Assumptions!$C$16,$B100&gt;=Assumptions!$C$17),"Tier 1",IF(AND($L100&lt;=Assumptions!$C$18,$B100&gt;=Assumptions!$C$19),"Tier 2","Tier 3")))</f>
        <v/>
      </c>
      <c r="P100" s="24" t="str">
        <f aca="false">IF(OR($B100="",$C100=""),"",IF($O100="Tier 1","Pursue — offer trial; plan 2-week tests",IF($O100="Tier 2","Qualify — trial only on top-traffic pages, bold tests (≥10% lift)","Don't trial A/B — nurture or sell non-testing services")))</f>
        <v/>
      </c>
    </row>
    <row r="101" customFormat="false" ht="15" hidden="false" customHeight="false" outlineLevel="0" collapsed="false">
      <c r="A101" s="13"/>
      <c r="B101" s="14"/>
      <c r="C101" s="15"/>
      <c r="D101" s="14"/>
      <c r="E101" s="13"/>
      <c r="F101" s="16" t="str">
        <f aca="false">IF(OR($B101="",$C101=""),"",IF($D101="",Assumptions!$C$13,$D101))</f>
        <v/>
      </c>
      <c r="G101" s="17" t="str">
        <f aca="false">IF(OR($B101="",$C101=""),"",$B101*1000000/12/$C101)</f>
        <v/>
      </c>
      <c r="H101" s="18" t="str">
        <f aca="false">IF(OR($B101="",$C101=""),"",$G101/$F101)</f>
        <v/>
      </c>
      <c r="I101" s="19" t="str">
        <f aca="false">IF(OR($B101="",$C101=""),"",$C101*$H101)</f>
        <v/>
      </c>
      <c r="J101" s="19" t="str">
        <f aca="false">IF(OR($B101="",$C101=""),"",Assumptions!$C$24*($H101*(1-$H101)+$H101*(1+Assumptions!$C$9)*(1-$H101*(1+Assumptions!$C$9)))/($H101*Assumptions!$C$9)^2)</f>
        <v/>
      </c>
      <c r="K101" s="19" t="str">
        <f aca="false">IF(OR($B101="",$C101=""),"",$C101/Assumptions!$C$14*Assumptions!$C$11)</f>
        <v/>
      </c>
      <c r="L101" s="20" t="str">
        <f aca="false">IF(OR($B101="",$C101=""),"",$J101*Assumptions!$C$10/$K101)</f>
        <v/>
      </c>
      <c r="M101" s="21" t="str">
        <f aca="false">IF(OR($B101="",$C101=""),"",MIN(Assumptions!$C$20,52/MAX($L101,Assumptions!$C$12)))</f>
        <v/>
      </c>
      <c r="N101" s="22" t="str">
        <f aca="false">IF(OR($B101="",$C101=""),"",SQRT(Assumptions!$C$24)*SQRT(2*$H101*(1-$H101)/($K101*4/Assumptions!$C$10))/$H101)</f>
        <v/>
      </c>
      <c r="O101" s="23" t="str">
        <f aca="false">IF(OR($B101="",$C101=""),"",IF(AND($L101&lt;=Assumptions!$C$16,$B101&gt;=Assumptions!$C$17),"Tier 1",IF(AND($L101&lt;=Assumptions!$C$18,$B101&gt;=Assumptions!$C$19),"Tier 2","Tier 3")))</f>
        <v/>
      </c>
      <c r="P101" s="24" t="str">
        <f aca="false">IF(OR($B101="",$C101=""),"",IF($O101="Tier 1","Pursue — offer trial; plan 2-week tests",IF($O101="Tier 2","Qualify — trial only on top-traffic pages, bold tests (≥10% lift)","Don't trial A/B — nurture or sell non-testing services")))</f>
        <v/>
      </c>
    </row>
    <row r="102" customFormat="false" ht="15" hidden="false" customHeight="false" outlineLevel="0" collapsed="false">
      <c r="A102" s="13"/>
      <c r="B102" s="14"/>
      <c r="C102" s="15"/>
      <c r="D102" s="14"/>
      <c r="E102" s="13"/>
      <c r="F102" s="16" t="str">
        <f aca="false">IF(OR($B102="",$C102=""),"",IF($D102="",Assumptions!$C$13,$D102))</f>
        <v/>
      </c>
      <c r="G102" s="17" t="str">
        <f aca="false">IF(OR($B102="",$C102=""),"",$B102*1000000/12/$C102)</f>
        <v/>
      </c>
      <c r="H102" s="18" t="str">
        <f aca="false">IF(OR($B102="",$C102=""),"",$G102/$F102)</f>
        <v/>
      </c>
      <c r="I102" s="19" t="str">
        <f aca="false">IF(OR($B102="",$C102=""),"",$C102*$H102)</f>
        <v/>
      </c>
      <c r="J102" s="19" t="str">
        <f aca="false">IF(OR($B102="",$C102=""),"",Assumptions!$C$24*($H102*(1-$H102)+$H102*(1+Assumptions!$C$9)*(1-$H102*(1+Assumptions!$C$9)))/($H102*Assumptions!$C$9)^2)</f>
        <v/>
      </c>
      <c r="K102" s="19" t="str">
        <f aca="false">IF(OR($B102="",$C102=""),"",$C102/Assumptions!$C$14*Assumptions!$C$11)</f>
        <v/>
      </c>
      <c r="L102" s="20" t="str">
        <f aca="false">IF(OR($B102="",$C102=""),"",$J102*Assumptions!$C$10/$K102)</f>
        <v/>
      </c>
      <c r="M102" s="21" t="str">
        <f aca="false">IF(OR($B102="",$C102=""),"",MIN(Assumptions!$C$20,52/MAX($L102,Assumptions!$C$12)))</f>
        <v/>
      </c>
      <c r="N102" s="22" t="str">
        <f aca="false">IF(OR($B102="",$C102=""),"",SQRT(Assumptions!$C$24)*SQRT(2*$H102*(1-$H102)/($K102*4/Assumptions!$C$10))/$H102)</f>
        <v/>
      </c>
      <c r="O102" s="23" t="str">
        <f aca="false">IF(OR($B102="",$C102=""),"",IF(AND($L102&lt;=Assumptions!$C$16,$B102&gt;=Assumptions!$C$17),"Tier 1",IF(AND($L102&lt;=Assumptions!$C$18,$B102&gt;=Assumptions!$C$19),"Tier 2","Tier 3")))</f>
        <v/>
      </c>
      <c r="P102" s="24" t="str">
        <f aca="false">IF(OR($B102="",$C102=""),"",IF($O102="Tier 1","Pursue — offer trial; plan 2-week tests",IF($O102="Tier 2","Qualify — trial only on top-traffic pages, bold tests (≥10% lift)","Don't trial A/B — nurture or sell non-testing services")))</f>
        <v/>
      </c>
    </row>
    <row r="103" customFormat="false" ht="15" hidden="false" customHeight="false" outlineLevel="0" collapsed="false">
      <c r="A103" s="13"/>
      <c r="B103" s="14"/>
      <c r="C103" s="15"/>
      <c r="D103" s="14"/>
      <c r="E103" s="13"/>
      <c r="F103" s="16" t="str">
        <f aca="false">IF(OR($B103="",$C103=""),"",IF($D103="",Assumptions!$C$13,$D103))</f>
        <v/>
      </c>
      <c r="G103" s="17" t="str">
        <f aca="false">IF(OR($B103="",$C103=""),"",$B103*1000000/12/$C103)</f>
        <v/>
      </c>
      <c r="H103" s="18" t="str">
        <f aca="false">IF(OR($B103="",$C103=""),"",$G103/$F103)</f>
        <v/>
      </c>
      <c r="I103" s="19" t="str">
        <f aca="false">IF(OR($B103="",$C103=""),"",$C103*$H103)</f>
        <v/>
      </c>
      <c r="J103" s="19" t="str">
        <f aca="false">IF(OR($B103="",$C103=""),"",Assumptions!$C$24*($H103*(1-$H103)+$H103*(1+Assumptions!$C$9)*(1-$H103*(1+Assumptions!$C$9)))/($H103*Assumptions!$C$9)^2)</f>
        <v/>
      </c>
      <c r="K103" s="19" t="str">
        <f aca="false">IF(OR($B103="",$C103=""),"",$C103/Assumptions!$C$14*Assumptions!$C$11)</f>
        <v/>
      </c>
      <c r="L103" s="20" t="str">
        <f aca="false">IF(OR($B103="",$C103=""),"",$J103*Assumptions!$C$10/$K103)</f>
        <v/>
      </c>
      <c r="M103" s="21" t="str">
        <f aca="false">IF(OR($B103="",$C103=""),"",MIN(Assumptions!$C$20,52/MAX($L103,Assumptions!$C$12)))</f>
        <v/>
      </c>
      <c r="N103" s="22" t="str">
        <f aca="false">IF(OR($B103="",$C103=""),"",SQRT(Assumptions!$C$24)*SQRT(2*$H103*(1-$H103)/($K103*4/Assumptions!$C$10))/$H103)</f>
        <v/>
      </c>
      <c r="O103" s="23" t="str">
        <f aca="false">IF(OR($B103="",$C103=""),"",IF(AND($L103&lt;=Assumptions!$C$16,$B103&gt;=Assumptions!$C$17),"Tier 1",IF(AND($L103&lt;=Assumptions!$C$18,$B103&gt;=Assumptions!$C$19),"Tier 2","Tier 3")))</f>
        <v/>
      </c>
      <c r="P103" s="24" t="str">
        <f aca="false">IF(OR($B103="",$C103=""),"",IF($O103="Tier 1","Pursue — offer trial; plan 2-week tests",IF($O103="Tier 2","Qualify — trial only on top-traffic pages, bold tests (≥10% lift)","Don't trial A/B — nurture or sell non-testing services")))</f>
        <v/>
      </c>
    </row>
    <row r="104" customFormat="false" ht="15" hidden="false" customHeight="false" outlineLevel="0" collapsed="false">
      <c r="A104" s="13"/>
      <c r="B104" s="14"/>
      <c r="C104" s="15"/>
      <c r="D104" s="14"/>
      <c r="E104" s="13"/>
      <c r="F104" s="16" t="str">
        <f aca="false">IF(OR($B104="",$C104=""),"",IF($D104="",Assumptions!$C$13,$D104))</f>
        <v/>
      </c>
      <c r="G104" s="17" t="str">
        <f aca="false">IF(OR($B104="",$C104=""),"",$B104*1000000/12/$C104)</f>
        <v/>
      </c>
      <c r="H104" s="18" t="str">
        <f aca="false">IF(OR($B104="",$C104=""),"",$G104/$F104)</f>
        <v/>
      </c>
      <c r="I104" s="19" t="str">
        <f aca="false">IF(OR($B104="",$C104=""),"",$C104*$H104)</f>
        <v/>
      </c>
      <c r="J104" s="19" t="str">
        <f aca="false">IF(OR($B104="",$C104=""),"",Assumptions!$C$24*($H104*(1-$H104)+$H104*(1+Assumptions!$C$9)*(1-$H104*(1+Assumptions!$C$9)))/($H104*Assumptions!$C$9)^2)</f>
        <v/>
      </c>
      <c r="K104" s="19" t="str">
        <f aca="false">IF(OR($B104="",$C104=""),"",$C104/Assumptions!$C$14*Assumptions!$C$11)</f>
        <v/>
      </c>
      <c r="L104" s="20" t="str">
        <f aca="false">IF(OR($B104="",$C104=""),"",$J104*Assumptions!$C$10/$K104)</f>
        <v/>
      </c>
      <c r="M104" s="21" t="str">
        <f aca="false">IF(OR($B104="",$C104=""),"",MIN(Assumptions!$C$20,52/MAX($L104,Assumptions!$C$12)))</f>
        <v/>
      </c>
      <c r="N104" s="22" t="str">
        <f aca="false">IF(OR($B104="",$C104=""),"",SQRT(Assumptions!$C$24)*SQRT(2*$H104*(1-$H104)/($K104*4/Assumptions!$C$10))/$H104)</f>
        <v/>
      </c>
      <c r="O104" s="23" t="str">
        <f aca="false">IF(OR($B104="",$C104=""),"",IF(AND($L104&lt;=Assumptions!$C$16,$B104&gt;=Assumptions!$C$17),"Tier 1",IF(AND($L104&lt;=Assumptions!$C$18,$B104&gt;=Assumptions!$C$19),"Tier 2","Tier 3")))</f>
        <v/>
      </c>
      <c r="P104" s="24" t="str">
        <f aca="false">IF(OR($B104="",$C104=""),"",IF($O104="Tier 1","Pursue — offer trial; plan 2-week tests",IF($O104="Tier 2","Qualify — trial only on top-traffic pages, bold tests (≥10% lift)","Don't trial A/B — nurture or sell non-testing services")))</f>
        <v/>
      </c>
    </row>
    <row r="105" customFormat="false" ht="15" hidden="false" customHeight="false" outlineLevel="0" collapsed="false">
      <c r="A105" s="13"/>
      <c r="B105" s="14"/>
      <c r="C105" s="15"/>
      <c r="D105" s="14"/>
      <c r="E105" s="13"/>
      <c r="F105" s="16" t="str">
        <f aca="false">IF(OR($B105="",$C105=""),"",IF($D105="",Assumptions!$C$13,$D105))</f>
        <v/>
      </c>
      <c r="G105" s="17" t="str">
        <f aca="false">IF(OR($B105="",$C105=""),"",$B105*1000000/12/$C105)</f>
        <v/>
      </c>
      <c r="H105" s="18" t="str">
        <f aca="false">IF(OR($B105="",$C105=""),"",$G105/$F105)</f>
        <v/>
      </c>
      <c r="I105" s="19" t="str">
        <f aca="false">IF(OR($B105="",$C105=""),"",$C105*$H105)</f>
        <v/>
      </c>
      <c r="J105" s="19" t="str">
        <f aca="false">IF(OR($B105="",$C105=""),"",Assumptions!$C$24*($H105*(1-$H105)+$H105*(1+Assumptions!$C$9)*(1-$H105*(1+Assumptions!$C$9)))/($H105*Assumptions!$C$9)^2)</f>
        <v/>
      </c>
      <c r="K105" s="19" t="str">
        <f aca="false">IF(OR($B105="",$C105=""),"",$C105/Assumptions!$C$14*Assumptions!$C$11)</f>
        <v/>
      </c>
      <c r="L105" s="20" t="str">
        <f aca="false">IF(OR($B105="",$C105=""),"",$J105*Assumptions!$C$10/$K105)</f>
        <v/>
      </c>
      <c r="M105" s="21" t="str">
        <f aca="false">IF(OR($B105="",$C105=""),"",MIN(Assumptions!$C$20,52/MAX($L105,Assumptions!$C$12)))</f>
        <v/>
      </c>
      <c r="N105" s="22" t="str">
        <f aca="false">IF(OR($B105="",$C105=""),"",SQRT(Assumptions!$C$24)*SQRT(2*$H105*(1-$H105)/($K105*4/Assumptions!$C$10))/$H105)</f>
        <v/>
      </c>
      <c r="O105" s="23" t="str">
        <f aca="false">IF(OR($B105="",$C105=""),"",IF(AND($L105&lt;=Assumptions!$C$16,$B105&gt;=Assumptions!$C$17),"Tier 1",IF(AND($L105&lt;=Assumptions!$C$18,$B105&gt;=Assumptions!$C$19),"Tier 2","Tier 3")))</f>
        <v/>
      </c>
      <c r="P105" s="24" t="str">
        <f aca="false">IF(OR($B105="",$C105=""),"",IF($O105="Tier 1","Pursue — offer trial; plan 2-week tests",IF($O105="Tier 2","Qualify — trial only on top-traffic pages, bold tests (≥10% lift)","Don't trial A/B — nurture or sell non-testing services")))</f>
        <v/>
      </c>
    </row>
    <row r="106" customFormat="false" ht="15" hidden="false" customHeight="false" outlineLevel="0" collapsed="false">
      <c r="A106" s="13"/>
      <c r="B106" s="14"/>
      <c r="C106" s="15"/>
      <c r="D106" s="14"/>
      <c r="E106" s="13"/>
      <c r="F106" s="16" t="str">
        <f aca="false">IF(OR($B106="",$C106=""),"",IF($D106="",Assumptions!$C$13,$D106))</f>
        <v/>
      </c>
      <c r="G106" s="17" t="str">
        <f aca="false">IF(OR($B106="",$C106=""),"",$B106*1000000/12/$C106)</f>
        <v/>
      </c>
      <c r="H106" s="18" t="str">
        <f aca="false">IF(OR($B106="",$C106=""),"",$G106/$F106)</f>
        <v/>
      </c>
      <c r="I106" s="19" t="str">
        <f aca="false">IF(OR($B106="",$C106=""),"",$C106*$H106)</f>
        <v/>
      </c>
      <c r="J106" s="19" t="str">
        <f aca="false">IF(OR($B106="",$C106=""),"",Assumptions!$C$24*($H106*(1-$H106)+$H106*(1+Assumptions!$C$9)*(1-$H106*(1+Assumptions!$C$9)))/($H106*Assumptions!$C$9)^2)</f>
        <v/>
      </c>
      <c r="K106" s="19" t="str">
        <f aca="false">IF(OR($B106="",$C106=""),"",$C106/Assumptions!$C$14*Assumptions!$C$11)</f>
        <v/>
      </c>
      <c r="L106" s="20" t="str">
        <f aca="false">IF(OR($B106="",$C106=""),"",$J106*Assumptions!$C$10/$K106)</f>
        <v/>
      </c>
      <c r="M106" s="21" t="str">
        <f aca="false">IF(OR($B106="",$C106=""),"",MIN(Assumptions!$C$20,52/MAX($L106,Assumptions!$C$12)))</f>
        <v/>
      </c>
      <c r="N106" s="22" t="str">
        <f aca="false">IF(OR($B106="",$C106=""),"",SQRT(Assumptions!$C$24)*SQRT(2*$H106*(1-$H106)/($K106*4/Assumptions!$C$10))/$H106)</f>
        <v/>
      </c>
      <c r="O106" s="23" t="str">
        <f aca="false">IF(OR($B106="",$C106=""),"",IF(AND($L106&lt;=Assumptions!$C$16,$B106&gt;=Assumptions!$C$17),"Tier 1",IF(AND($L106&lt;=Assumptions!$C$18,$B106&gt;=Assumptions!$C$19),"Tier 2","Tier 3")))</f>
        <v/>
      </c>
      <c r="P106" s="24" t="str">
        <f aca="false">IF(OR($B106="",$C106=""),"",IF($O106="Tier 1","Pursue — offer trial; plan 2-week tests",IF($O106="Tier 2","Qualify — trial only on top-traffic pages, bold tests (≥10% lift)","Don't trial A/B — nurture or sell non-testing services")))</f>
        <v/>
      </c>
    </row>
    <row r="107" customFormat="false" ht="15" hidden="false" customHeight="false" outlineLevel="0" collapsed="false">
      <c r="A107" s="13"/>
      <c r="B107" s="14"/>
      <c r="C107" s="15"/>
      <c r="D107" s="14"/>
      <c r="E107" s="13"/>
      <c r="F107" s="16" t="str">
        <f aca="false">IF(OR($B107="",$C107=""),"",IF($D107="",Assumptions!$C$13,$D107))</f>
        <v/>
      </c>
      <c r="G107" s="17" t="str">
        <f aca="false">IF(OR($B107="",$C107=""),"",$B107*1000000/12/$C107)</f>
        <v/>
      </c>
      <c r="H107" s="18" t="str">
        <f aca="false">IF(OR($B107="",$C107=""),"",$G107/$F107)</f>
        <v/>
      </c>
      <c r="I107" s="19" t="str">
        <f aca="false">IF(OR($B107="",$C107=""),"",$C107*$H107)</f>
        <v/>
      </c>
      <c r="J107" s="19" t="str">
        <f aca="false">IF(OR($B107="",$C107=""),"",Assumptions!$C$24*($H107*(1-$H107)+$H107*(1+Assumptions!$C$9)*(1-$H107*(1+Assumptions!$C$9)))/($H107*Assumptions!$C$9)^2)</f>
        <v/>
      </c>
      <c r="K107" s="19" t="str">
        <f aca="false">IF(OR($B107="",$C107=""),"",$C107/Assumptions!$C$14*Assumptions!$C$11)</f>
        <v/>
      </c>
      <c r="L107" s="20" t="str">
        <f aca="false">IF(OR($B107="",$C107=""),"",$J107*Assumptions!$C$10/$K107)</f>
        <v/>
      </c>
      <c r="M107" s="21" t="str">
        <f aca="false">IF(OR($B107="",$C107=""),"",MIN(Assumptions!$C$20,52/MAX($L107,Assumptions!$C$12)))</f>
        <v/>
      </c>
      <c r="N107" s="22" t="str">
        <f aca="false">IF(OR($B107="",$C107=""),"",SQRT(Assumptions!$C$24)*SQRT(2*$H107*(1-$H107)/($K107*4/Assumptions!$C$10))/$H107)</f>
        <v/>
      </c>
      <c r="O107" s="23" t="str">
        <f aca="false">IF(OR($B107="",$C107=""),"",IF(AND($L107&lt;=Assumptions!$C$16,$B107&gt;=Assumptions!$C$17),"Tier 1",IF(AND($L107&lt;=Assumptions!$C$18,$B107&gt;=Assumptions!$C$19),"Tier 2","Tier 3")))</f>
        <v/>
      </c>
      <c r="P107" s="24" t="str">
        <f aca="false">IF(OR($B107="",$C107=""),"",IF($O107="Tier 1","Pursue — offer trial; plan 2-week tests",IF($O107="Tier 2","Qualify — trial only on top-traffic pages, bold tests (≥10% lift)","Don't trial A/B — nurture or sell non-testing services")))</f>
        <v/>
      </c>
    </row>
    <row r="108" customFormat="false" ht="15" hidden="false" customHeight="false" outlineLevel="0" collapsed="false">
      <c r="A108" s="13"/>
      <c r="B108" s="14"/>
      <c r="C108" s="15"/>
      <c r="D108" s="14"/>
      <c r="E108" s="13"/>
      <c r="F108" s="16" t="str">
        <f aca="false">IF(OR($B108="",$C108=""),"",IF($D108="",Assumptions!$C$13,$D108))</f>
        <v/>
      </c>
      <c r="G108" s="17" t="str">
        <f aca="false">IF(OR($B108="",$C108=""),"",$B108*1000000/12/$C108)</f>
        <v/>
      </c>
      <c r="H108" s="18" t="str">
        <f aca="false">IF(OR($B108="",$C108=""),"",$G108/$F108)</f>
        <v/>
      </c>
      <c r="I108" s="19" t="str">
        <f aca="false">IF(OR($B108="",$C108=""),"",$C108*$H108)</f>
        <v/>
      </c>
      <c r="J108" s="19" t="str">
        <f aca="false">IF(OR($B108="",$C108=""),"",Assumptions!$C$24*($H108*(1-$H108)+$H108*(1+Assumptions!$C$9)*(1-$H108*(1+Assumptions!$C$9)))/($H108*Assumptions!$C$9)^2)</f>
        <v/>
      </c>
      <c r="K108" s="19" t="str">
        <f aca="false">IF(OR($B108="",$C108=""),"",$C108/Assumptions!$C$14*Assumptions!$C$11)</f>
        <v/>
      </c>
      <c r="L108" s="20" t="str">
        <f aca="false">IF(OR($B108="",$C108=""),"",$J108*Assumptions!$C$10/$K108)</f>
        <v/>
      </c>
      <c r="M108" s="21" t="str">
        <f aca="false">IF(OR($B108="",$C108=""),"",MIN(Assumptions!$C$20,52/MAX($L108,Assumptions!$C$12)))</f>
        <v/>
      </c>
      <c r="N108" s="22" t="str">
        <f aca="false">IF(OR($B108="",$C108=""),"",SQRT(Assumptions!$C$24)*SQRT(2*$H108*(1-$H108)/($K108*4/Assumptions!$C$10))/$H108)</f>
        <v/>
      </c>
      <c r="O108" s="23" t="str">
        <f aca="false">IF(OR($B108="",$C108=""),"",IF(AND($L108&lt;=Assumptions!$C$16,$B108&gt;=Assumptions!$C$17),"Tier 1",IF(AND($L108&lt;=Assumptions!$C$18,$B108&gt;=Assumptions!$C$19),"Tier 2","Tier 3")))</f>
        <v/>
      </c>
      <c r="P108" s="24" t="str">
        <f aca="false">IF(OR($B108="",$C108=""),"",IF($O108="Tier 1","Pursue — offer trial; plan 2-week tests",IF($O108="Tier 2","Qualify — trial only on top-traffic pages, bold tests (≥10% lift)","Don't trial A/B — nurture or sell non-testing services")))</f>
        <v/>
      </c>
    </row>
    <row r="109" customFormat="false" ht="15" hidden="false" customHeight="false" outlineLevel="0" collapsed="false">
      <c r="A109" s="13"/>
      <c r="B109" s="14"/>
      <c r="C109" s="15"/>
      <c r="D109" s="14"/>
      <c r="E109" s="13"/>
      <c r="F109" s="16" t="str">
        <f aca="false">IF(OR($B109="",$C109=""),"",IF($D109="",Assumptions!$C$13,$D109))</f>
        <v/>
      </c>
      <c r="G109" s="17" t="str">
        <f aca="false">IF(OR($B109="",$C109=""),"",$B109*1000000/12/$C109)</f>
        <v/>
      </c>
      <c r="H109" s="18" t="str">
        <f aca="false">IF(OR($B109="",$C109=""),"",$G109/$F109)</f>
        <v/>
      </c>
      <c r="I109" s="19" t="str">
        <f aca="false">IF(OR($B109="",$C109=""),"",$C109*$H109)</f>
        <v/>
      </c>
      <c r="J109" s="19" t="str">
        <f aca="false">IF(OR($B109="",$C109=""),"",Assumptions!$C$24*($H109*(1-$H109)+$H109*(1+Assumptions!$C$9)*(1-$H109*(1+Assumptions!$C$9)))/($H109*Assumptions!$C$9)^2)</f>
        <v/>
      </c>
      <c r="K109" s="19" t="str">
        <f aca="false">IF(OR($B109="",$C109=""),"",$C109/Assumptions!$C$14*Assumptions!$C$11)</f>
        <v/>
      </c>
      <c r="L109" s="20" t="str">
        <f aca="false">IF(OR($B109="",$C109=""),"",$J109*Assumptions!$C$10/$K109)</f>
        <v/>
      </c>
      <c r="M109" s="21" t="str">
        <f aca="false">IF(OR($B109="",$C109=""),"",MIN(Assumptions!$C$20,52/MAX($L109,Assumptions!$C$12)))</f>
        <v/>
      </c>
      <c r="N109" s="22" t="str">
        <f aca="false">IF(OR($B109="",$C109=""),"",SQRT(Assumptions!$C$24)*SQRT(2*$H109*(1-$H109)/($K109*4/Assumptions!$C$10))/$H109)</f>
        <v/>
      </c>
      <c r="O109" s="23" t="str">
        <f aca="false">IF(OR($B109="",$C109=""),"",IF(AND($L109&lt;=Assumptions!$C$16,$B109&gt;=Assumptions!$C$17),"Tier 1",IF(AND($L109&lt;=Assumptions!$C$18,$B109&gt;=Assumptions!$C$19),"Tier 2","Tier 3")))</f>
        <v/>
      </c>
      <c r="P109" s="24" t="str">
        <f aca="false">IF(OR($B109="",$C109=""),"",IF($O109="Tier 1","Pursue — offer trial; plan 2-week tests",IF($O109="Tier 2","Qualify — trial only on top-traffic pages, bold tests (≥10% lift)","Don't trial A/B — nurture or sell non-testing services")))</f>
        <v/>
      </c>
    </row>
    <row r="110" customFormat="false" ht="15" hidden="false" customHeight="false" outlineLevel="0" collapsed="false">
      <c r="A110" s="13"/>
      <c r="B110" s="14"/>
      <c r="C110" s="15"/>
      <c r="D110" s="14"/>
      <c r="E110" s="13"/>
      <c r="F110" s="16" t="str">
        <f aca="false">IF(OR($B110="",$C110=""),"",IF($D110="",Assumptions!$C$13,$D110))</f>
        <v/>
      </c>
      <c r="G110" s="17" t="str">
        <f aca="false">IF(OR($B110="",$C110=""),"",$B110*1000000/12/$C110)</f>
        <v/>
      </c>
      <c r="H110" s="18" t="str">
        <f aca="false">IF(OR($B110="",$C110=""),"",$G110/$F110)</f>
        <v/>
      </c>
      <c r="I110" s="19" t="str">
        <f aca="false">IF(OR($B110="",$C110=""),"",$C110*$H110)</f>
        <v/>
      </c>
      <c r="J110" s="19" t="str">
        <f aca="false">IF(OR($B110="",$C110=""),"",Assumptions!$C$24*($H110*(1-$H110)+$H110*(1+Assumptions!$C$9)*(1-$H110*(1+Assumptions!$C$9)))/($H110*Assumptions!$C$9)^2)</f>
        <v/>
      </c>
      <c r="K110" s="19" t="str">
        <f aca="false">IF(OR($B110="",$C110=""),"",$C110/Assumptions!$C$14*Assumptions!$C$11)</f>
        <v/>
      </c>
      <c r="L110" s="20" t="str">
        <f aca="false">IF(OR($B110="",$C110=""),"",$J110*Assumptions!$C$10/$K110)</f>
        <v/>
      </c>
      <c r="M110" s="21" t="str">
        <f aca="false">IF(OR($B110="",$C110=""),"",MIN(Assumptions!$C$20,52/MAX($L110,Assumptions!$C$12)))</f>
        <v/>
      </c>
      <c r="N110" s="22" t="str">
        <f aca="false">IF(OR($B110="",$C110=""),"",SQRT(Assumptions!$C$24)*SQRT(2*$H110*(1-$H110)/($K110*4/Assumptions!$C$10))/$H110)</f>
        <v/>
      </c>
      <c r="O110" s="23" t="str">
        <f aca="false">IF(OR($B110="",$C110=""),"",IF(AND($L110&lt;=Assumptions!$C$16,$B110&gt;=Assumptions!$C$17),"Tier 1",IF(AND($L110&lt;=Assumptions!$C$18,$B110&gt;=Assumptions!$C$19),"Tier 2","Tier 3")))</f>
        <v/>
      </c>
      <c r="P110" s="24" t="str">
        <f aca="false">IF(OR($B110="",$C110=""),"",IF($O110="Tier 1","Pursue — offer trial; plan 2-week tests",IF($O110="Tier 2","Qualify — trial only on top-traffic pages, bold tests (≥10% lift)","Don't trial A/B — nurture or sell non-testing services")))</f>
        <v/>
      </c>
    </row>
    <row r="111" customFormat="false" ht="15" hidden="false" customHeight="false" outlineLevel="0" collapsed="false">
      <c r="A111" s="13"/>
      <c r="B111" s="14"/>
      <c r="C111" s="15"/>
      <c r="D111" s="14"/>
      <c r="E111" s="13"/>
      <c r="F111" s="16" t="str">
        <f aca="false">IF(OR($B111="",$C111=""),"",IF($D111="",Assumptions!$C$13,$D111))</f>
        <v/>
      </c>
      <c r="G111" s="17" t="str">
        <f aca="false">IF(OR($B111="",$C111=""),"",$B111*1000000/12/$C111)</f>
        <v/>
      </c>
      <c r="H111" s="18" t="str">
        <f aca="false">IF(OR($B111="",$C111=""),"",$G111/$F111)</f>
        <v/>
      </c>
      <c r="I111" s="19" t="str">
        <f aca="false">IF(OR($B111="",$C111=""),"",$C111*$H111)</f>
        <v/>
      </c>
      <c r="J111" s="19" t="str">
        <f aca="false">IF(OR($B111="",$C111=""),"",Assumptions!$C$24*($H111*(1-$H111)+$H111*(1+Assumptions!$C$9)*(1-$H111*(1+Assumptions!$C$9)))/($H111*Assumptions!$C$9)^2)</f>
        <v/>
      </c>
      <c r="K111" s="19" t="str">
        <f aca="false">IF(OR($B111="",$C111=""),"",$C111/Assumptions!$C$14*Assumptions!$C$11)</f>
        <v/>
      </c>
      <c r="L111" s="20" t="str">
        <f aca="false">IF(OR($B111="",$C111=""),"",$J111*Assumptions!$C$10/$K111)</f>
        <v/>
      </c>
      <c r="M111" s="21" t="str">
        <f aca="false">IF(OR($B111="",$C111=""),"",MIN(Assumptions!$C$20,52/MAX($L111,Assumptions!$C$12)))</f>
        <v/>
      </c>
      <c r="N111" s="22" t="str">
        <f aca="false">IF(OR($B111="",$C111=""),"",SQRT(Assumptions!$C$24)*SQRT(2*$H111*(1-$H111)/($K111*4/Assumptions!$C$10))/$H111)</f>
        <v/>
      </c>
      <c r="O111" s="23" t="str">
        <f aca="false">IF(OR($B111="",$C111=""),"",IF(AND($L111&lt;=Assumptions!$C$16,$B111&gt;=Assumptions!$C$17),"Tier 1",IF(AND($L111&lt;=Assumptions!$C$18,$B111&gt;=Assumptions!$C$19),"Tier 2","Tier 3")))</f>
        <v/>
      </c>
      <c r="P111" s="24" t="str">
        <f aca="false">IF(OR($B111="",$C111=""),"",IF($O111="Tier 1","Pursue — offer trial; plan 2-week tests",IF($O111="Tier 2","Qualify — trial only on top-traffic pages, bold tests (≥10% lift)","Don't trial A/B — nurture or sell non-testing services")))</f>
        <v/>
      </c>
    </row>
    <row r="112" customFormat="false" ht="15" hidden="false" customHeight="false" outlineLevel="0" collapsed="false">
      <c r="A112" s="13"/>
      <c r="B112" s="14"/>
      <c r="C112" s="15"/>
      <c r="D112" s="14"/>
      <c r="E112" s="13"/>
      <c r="F112" s="16" t="str">
        <f aca="false">IF(OR($B112="",$C112=""),"",IF($D112="",Assumptions!$C$13,$D112))</f>
        <v/>
      </c>
      <c r="G112" s="17" t="str">
        <f aca="false">IF(OR($B112="",$C112=""),"",$B112*1000000/12/$C112)</f>
        <v/>
      </c>
      <c r="H112" s="18" t="str">
        <f aca="false">IF(OR($B112="",$C112=""),"",$G112/$F112)</f>
        <v/>
      </c>
      <c r="I112" s="19" t="str">
        <f aca="false">IF(OR($B112="",$C112=""),"",$C112*$H112)</f>
        <v/>
      </c>
      <c r="J112" s="19" t="str">
        <f aca="false">IF(OR($B112="",$C112=""),"",Assumptions!$C$24*($H112*(1-$H112)+$H112*(1+Assumptions!$C$9)*(1-$H112*(1+Assumptions!$C$9)))/($H112*Assumptions!$C$9)^2)</f>
        <v/>
      </c>
      <c r="K112" s="19" t="str">
        <f aca="false">IF(OR($B112="",$C112=""),"",$C112/Assumptions!$C$14*Assumptions!$C$11)</f>
        <v/>
      </c>
      <c r="L112" s="20" t="str">
        <f aca="false">IF(OR($B112="",$C112=""),"",$J112*Assumptions!$C$10/$K112)</f>
        <v/>
      </c>
      <c r="M112" s="21" t="str">
        <f aca="false">IF(OR($B112="",$C112=""),"",MIN(Assumptions!$C$20,52/MAX($L112,Assumptions!$C$12)))</f>
        <v/>
      </c>
      <c r="N112" s="22" t="str">
        <f aca="false">IF(OR($B112="",$C112=""),"",SQRT(Assumptions!$C$24)*SQRT(2*$H112*(1-$H112)/($K112*4/Assumptions!$C$10))/$H112)</f>
        <v/>
      </c>
      <c r="O112" s="23" t="str">
        <f aca="false">IF(OR($B112="",$C112=""),"",IF(AND($L112&lt;=Assumptions!$C$16,$B112&gt;=Assumptions!$C$17),"Tier 1",IF(AND($L112&lt;=Assumptions!$C$18,$B112&gt;=Assumptions!$C$19),"Tier 2","Tier 3")))</f>
        <v/>
      </c>
      <c r="P112" s="24" t="str">
        <f aca="false">IF(OR($B112="",$C112=""),"",IF($O112="Tier 1","Pursue — offer trial; plan 2-week tests",IF($O112="Tier 2","Qualify — trial only on top-traffic pages, bold tests (≥10% lift)","Don't trial A/B — nurture or sell non-testing services")))</f>
        <v/>
      </c>
    </row>
    <row r="113" customFormat="false" ht="15" hidden="false" customHeight="false" outlineLevel="0" collapsed="false">
      <c r="A113" s="13"/>
      <c r="B113" s="14"/>
      <c r="C113" s="15"/>
      <c r="D113" s="14"/>
      <c r="E113" s="13"/>
      <c r="F113" s="16" t="str">
        <f aca="false">IF(OR($B113="",$C113=""),"",IF($D113="",Assumptions!$C$13,$D113))</f>
        <v/>
      </c>
      <c r="G113" s="17" t="str">
        <f aca="false">IF(OR($B113="",$C113=""),"",$B113*1000000/12/$C113)</f>
        <v/>
      </c>
      <c r="H113" s="18" t="str">
        <f aca="false">IF(OR($B113="",$C113=""),"",$G113/$F113)</f>
        <v/>
      </c>
      <c r="I113" s="19" t="str">
        <f aca="false">IF(OR($B113="",$C113=""),"",$C113*$H113)</f>
        <v/>
      </c>
      <c r="J113" s="19" t="str">
        <f aca="false">IF(OR($B113="",$C113=""),"",Assumptions!$C$24*($H113*(1-$H113)+$H113*(1+Assumptions!$C$9)*(1-$H113*(1+Assumptions!$C$9)))/($H113*Assumptions!$C$9)^2)</f>
        <v/>
      </c>
      <c r="K113" s="19" t="str">
        <f aca="false">IF(OR($B113="",$C113=""),"",$C113/Assumptions!$C$14*Assumptions!$C$11)</f>
        <v/>
      </c>
      <c r="L113" s="20" t="str">
        <f aca="false">IF(OR($B113="",$C113=""),"",$J113*Assumptions!$C$10/$K113)</f>
        <v/>
      </c>
      <c r="M113" s="21" t="str">
        <f aca="false">IF(OR($B113="",$C113=""),"",MIN(Assumptions!$C$20,52/MAX($L113,Assumptions!$C$12)))</f>
        <v/>
      </c>
      <c r="N113" s="22" t="str">
        <f aca="false">IF(OR($B113="",$C113=""),"",SQRT(Assumptions!$C$24)*SQRT(2*$H113*(1-$H113)/($K113*4/Assumptions!$C$10))/$H113)</f>
        <v/>
      </c>
      <c r="O113" s="23" t="str">
        <f aca="false">IF(OR($B113="",$C113=""),"",IF(AND($L113&lt;=Assumptions!$C$16,$B113&gt;=Assumptions!$C$17),"Tier 1",IF(AND($L113&lt;=Assumptions!$C$18,$B113&gt;=Assumptions!$C$19),"Tier 2","Tier 3")))</f>
        <v/>
      </c>
      <c r="P113" s="24" t="str">
        <f aca="false">IF(OR($B113="",$C113=""),"",IF($O113="Tier 1","Pursue — offer trial; plan 2-week tests",IF($O113="Tier 2","Qualify — trial only on top-traffic pages, bold tests (≥10% lift)","Don't trial A/B — nurture or sell non-testing services")))</f>
        <v/>
      </c>
    </row>
    <row r="114" customFormat="false" ht="15" hidden="false" customHeight="false" outlineLevel="0" collapsed="false">
      <c r="A114" s="13"/>
      <c r="B114" s="14"/>
      <c r="C114" s="15"/>
      <c r="D114" s="14"/>
      <c r="E114" s="13"/>
      <c r="F114" s="16" t="str">
        <f aca="false">IF(OR($B114="",$C114=""),"",IF($D114="",Assumptions!$C$13,$D114))</f>
        <v/>
      </c>
      <c r="G114" s="17" t="str">
        <f aca="false">IF(OR($B114="",$C114=""),"",$B114*1000000/12/$C114)</f>
        <v/>
      </c>
      <c r="H114" s="18" t="str">
        <f aca="false">IF(OR($B114="",$C114=""),"",$G114/$F114)</f>
        <v/>
      </c>
      <c r="I114" s="19" t="str">
        <f aca="false">IF(OR($B114="",$C114=""),"",$C114*$H114)</f>
        <v/>
      </c>
      <c r="J114" s="19" t="str">
        <f aca="false">IF(OR($B114="",$C114=""),"",Assumptions!$C$24*($H114*(1-$H114)+$H114*(1+Assumptions!$C$9)*(1-$H114*(1+Assumptions!$C$9)))/($H114*Assumptions!$C$9)^2)</f>
        <v/>
      </c>
      <c r="K114" s="19" t="str">
        <f aca="false">IF(OR($B114="",$C114=""),"",$C114/Assumptions!$C$14*Assumptions!$C$11)</f>
        <v/>
      </c>
      <c r="L114" s="20" t="str">
        <f aca="false">IF(OR($B114="",$C114=""),"",$J114*Assumptions!$C$10/$K114)</f>
        <v/>
      </c>
      <c r="M114" s="21" t="str">
        <f aca="false">IF(OR($B114="",$C114=""),"",MIN(Assumptions!$C$20,52/MAX($L114,Assumptions!$C$12)))</f>
        <v/>
      </c>
      <c r="N114" s="22" t="str">
        <f aca="false">IF(OR($B114="",$C114=""),"",SQRT(Assumptions!$C$24)*SQRT(2*$H114*(1-$H114)/($K114*4/Assumptions!$C$10))/$H114)</f>
        <v/>
      </c>
      <c r="O114" s="23" t="str">
        <f aca="false">IF(OR($B114="",$C114=""),"",IF(AND($L114&lt;=Assumptions!$C$16,$B114&gt;=Assumptions!$C$17),"Tier 1",IF(AND($L114&lt;=Assumptions!$C$18,$B114&gt;=Assumptions!$C$19),"Tier 2","Tier 3")))</f>
        <v/>
      </c>
      <c r="P114" s="24" t="str">
        <f aca="false">IF(OR($B114="",$C114=""),"",IF($O114="Tier 1","Pursue — offer trial; plan 2-week tests",IF($O114="Tier 2","Qualify — trial only on top-traffic pages, bold tests (≥10% lift)","Don't trial A/B — nurture or sell non-testing services")))</f>
        <v/>
      </c>
    </row>
    <row r="115" customFormat="false" ht="15" hidden="false" customHeight="false" outlineLevel="0" collapsed="false">
      <c r="A115" s="13"/>
      <c r="B115" s="14"/>
      <c r="C115" s="15"/>
      <c r="D115" s="14"/>
      <c r="E115" s="13"/>
      <c r="F115" s="16" t="str">
        <f aca="false">IF(OR($B115="",$C115=""),"",IF($D115="",Assumptions!$C$13,$D115))</f>
        <v/>
      </c>
      <c r="G115" s="17" t="str">
        <f aca="false">IF(OR($B115="",$C115=""),"",$B115*1000000/12/$C115)</f>
        <v/>
      </c>
      <c r="H115" s="18" t="str">
        <f aca="false">IF(OR($B115="",$C115=""),"",$G115/$F115)</f>
        <v/>
      </c>
      <c r="I115" s="19" t="str">
        <f aca="false">IF(OR($B115="",$C115=""),"",$C115*$H115)</f>
        <v/>
      </c>
      <c r="J115" s="19" t="str">
        <f aca="false">IF(OR($B115="",$C115=""),"",Assumptions!$C$24*($H115*(1-$H115)+$H115*(1+Assumptions!$C$9)*(1-$H115*(1+Assumptions!$C$9)))/($H115*Assumptions!$C$9)^2)</f>
        <v/>
      </c>
      <c r="K115" s="19" t="str">
        <f aca="false">IF(OR($B115="",$C115=""),"",$C115/Assumptions!$C$14*Assumptions!$C$11)</f>
        <v/>
      </c>
      <c r="L115" s="20" t="str">
        <f aca="false">IF(OR($B115="",$C115=""),"",$J115*Assumptions!$C$10/$K115)</f>
        <v/>
      </c>
      <c r="M115" s="21" t="str">
        <f aca="false">IF(OR($B115="",$C115=""),"",MIN(Assumptions!$C$20,52/MAX($L115,Assumptions!$C$12)))</f>
        <v/>
      </c>
      <c r="N115" s="22" t="str">
        <f aca="false">IF(OR($B115="",$C115=""),"",SQRT(Assumptions!$C$24)*SQRT(2*$H115*(1-$H115)/($K115*4/Assumptions!$C$10))/$H115)</f>
        <v/>
      </c>
      <c r="O115" s="23" t="str">
        <f aca="false">IF(OR($B115="",$C115=""),"",IF(AND($L115&lt;=Assumptions!$C$16,$B115&gt;=Assumptions!$C$17),"Tier 1",IF(AND($L115&lt;=Assumptions!$C$18,$B115&gt;=Assumptions!$C$19),"Tier 2","Tier 3")))</f>
        <v/>
      </c>
      <c r="P115" s="24" t="str">
        <f aca="false">IF(OR($B115="",$C115=""),"",IF($O115="Tier 1","Pursue — offer trial; plan 2-week tests",IF($O115="Tier 2","Qualify — trial only on top-traffic pages, bold tests (≥10% lift)","Don't trial A/B — nurture or sell non-testing services")))</f>
        <v/>
      </c>
    </row>
    <row r="116" customFormat="false" ht="15" hidden="false" customHeight="false" outlineLevel="0" collapsed="false">
      <c r="A116" s="13"/>
      <c r="B116" s="14"/>
      <c r="C116" s="15"/>
      <c r="D116" s="14"/>
      <c r="E116" s="13"/>
      <c r="F116" s="16" t="str">
        <f aca="false">IF(OR($B116="",$C116=""),"",IF($D116="",Assumptions!$C$13,$D116))</f>
        <v/>
      </c>
      <c r="G116" s="17" t="str">
        <f aca="false">IF(OR($B116="",$C116=""),"",$B116*1000000/12/$C116)</f>
        <v/>
      </c>
      <c r="H116" s="18" t="str">
        <f aca="false">IF(OR($B116="",$C116=""),"",$G116/$F116)</f>
        <v/>
      </c>
      <c r="I116" s="19" t="str">
        <f aca="false">IF(OR($B116="",$C116=""),"",$C116*$H116)</f>
        <v/>
      </c>
      <c r="J116" s="19" t="str">
        <f aca="false">IF(OR($B116="",$C116=""),"",Assumptions!$C$24*($H116*(1-$H116)+$H116*(1+Assumptions!$C$9)*(1-$H116*(1+Assumptions!$C$9)))/($H116*Assumptions!$C$9)^2)</f>
        <v/>
      </c>
      <c r="K116" s="19" t="str">
        <f aca="false">IF(OR($B116="",$C116=""),"",$C116/Assumptions!$C$14*Assumptions!$C$11)</f>
        <v/>
      </c>
      <c r="L116" s="20" t="str">
        <f aca="false">IF(OR($B116="",$C116=""),"",$J116*Assumptions!$C$10/$K116)</f>
        <v/>
      </c>
      <c r="M116" s="21" t="str">
        <f aca="false">IF(OR($B116="",$C116=""),"",MIN(Assumptions!$C$20,52/MAX($L116,Assumptions!$C$12)))</f>
        <v/>
      </c>
      <c r="N116" s="22" t="str">
        <f aca="false">IF(OR($B116="",$C116=""),"",SQRT(Assumptions!$C$24)*SQRT(2*$H116*(1-$H116)/($K116*4/Assumptions!$C$10))/$H116)</f>
        <v/>
      </c>
      <c r="O116" s="23" t="str">
        <f aca="false">IF(OR($B116="",$C116=""),"",IF(AND($L116&lt;=Assumptions!$C$16,$B116&gt;=Assumptions!$C$17),"Tier 1",IF(AND($L116&lt;=Assumptions!$C$18,$B116&gt;=Assumptions!$C$19),"Tier 2","Tier 3")))</f>
        <v/>
      </c>
      <c r="P116" s="24" t="str">
        <f aca="false">IF(OR($B116="",$C116=""),"",IF($O116="Tier 1","Pursue — offer trial; plan 2-week tests",IF($O116="Tier 2","Qualify — trial only on top-traffic pages, bold tests (≥10% lift)","Don't trial A/B — nurture or sell non-testing services")))</f>
        <v/>
      </c>
    </row>
    <row r="117" customFormat="false" ht="15" hidden="false" customHeight="false" outlineLevel="0" collapsed="false">
      <c r="A117" s="13"/>
      <c r="B117" s="14"/>
      <c r="C117" s="15"/>
      <c r="D117" s="14"/>
      <c r="E117" s="13"/>
      <c r="F117" s="16" t="str">
        <f aca="false">IF(OR($B117="",$C117=""),"",IF($D117="",Assumptions!$C$13,$D117))</f>
        <v/>
      </c>
      <c r="G117" s="17" t="str">
        <f aca="false">IF(OR($B117="",$C117=""),"",$B117*1000000/12/$C117)</f>
        <v/>
      </c>
      <c r="H117" s="18" t="str">
        <f aca="false">IF(OR($B117="",$C117=""),"",$G117/$F117)</f>
        <v/>
      </c>
      <c r="I117" s="19" t="str">
        <f aca="false">IF(OR($B117="",$C117=""),"",$C117*$H117)</f>
        <v/>
      </c>
      <c r="J117" s="19" t="str">
        <f aca="false">IF(OR($B117="",$C117=""),"",Assumptions!$C$24*($H117*(1-$H117)+$H117*(1+Assumptions!$C$9)*(1-$H117*(1+Assumptions!$C$9)))/($H117*Assumptions!$C$9)^2)</f>
        <v/>
      </c>
      <c r="K117" s="19" t="str">
        <f aca="false">IF(OR($B117="",$C117=""),"",$C117/Assumptions!$C$14*Assumptions!$C$11)</f>
        <v/>
      </c>
      <c r="L117" s="20" t="str">
        <f aca="false">IF(OR($B117="",$C117=""),"",$J117*Assumptions!$C$10/$K117)</f>
        <v/>
      </c>
      <c r="M117" s="21" t="str">
        <f aca="false">IF(OR($B117="",$C117=""),"",MIN(Assumptions!$C$20,52/MAX($L117,Assumptions!$C$12)))</f>
        <v/>
      </c>
      <c r="N117" s="22" t="str">
        <f aca="false">IF(OR($B117="",$C117=""),"",SQRT(Assumptions!$C$24)*SQRT(2*$H117*(1-$H117)/($K117*4/Assumptions!$C$10))/$H117)</f>
        <v/>
      </c>
      <c r="O117" s="23" t="str">
        <f aca="false">IF(OR($B117="",$C117=""),"",IF(AND($L117&lt;=Assumptions!$C$16,$B117&gt;=Assumptions!$C$17),"Tier 1",IF(AND($L117&lt;=Assumptions!$C$18,$B117&gt;=Assumptions!$C$19),"Tier 2","Tier 3")))</f>
        <v/>
      </c>
      <c r="P117" s="24" t="str">
        <f aca="false">IF(OR($B117="",$C117=""),"",IF($O117="Tier 1","Pursue — offer trial; plan 2-week tests",IF($O117="Tier 2","Qualify — trial only on top-traffic pages, bold tests (≥10% lift)","Don't trial A/B — nurture or sell non-testing services")))</f>
        <v/>
      </c>
    </row>
    <row r="118" customFormat="false" ht="15" hidden="false" customHeight="false" outlineLevel="0" collapsed="false">
      <c r="A118" s="13"/>
      <c r="B118" s="14"/>
      <c r="C118" s="15"/>
      <c r="D118" s="14"/>
      <c r="E118" s="13"/>
      <c r="F118" s="16" t="str">
        <f aca="false">IF(OR($B118="",$C118=""),"",IF($D118="",Assumptions!$C$13,$D118))</f>
        <v/>
      </c>
      <c r="G118" s="17" t="str">
        <f aca="false">IF(OR($B118="",$C118=""),"",$B118*1000000/12/$C118)</f>
        <v/>
      </c>
      <c r="H118" s="18" t="str">
        <f aca="false">IF(OR($B118="",$C118=""),"",$G118/$F118)</f>
        <v/>
      </c>
      <c r="I118" s="19" t="str">
        <f aca="false">IF(OR($B118="",$C118=""),"",$C118*$H118)</f>
        <v/>
      </c>
      <c r="J118" s="19" t="str">
        <f aca="false">IF(OR($B118="",$C118=""),"",Assumptions!$C$24*($H118*(1-$H118)+$H118*(1+Assumptions!$C$9)*(1-$H118*(1+Assumptions!$C$9)))/($H118*Assumptions!$C$9)^2)</f>
        <v/>
      </c>
      <c r="K118" s="19" t="str">
        <f aca="false">IF(OR($B118="",$C118=""),"",$C118/Assumptions!$C$14*Assumptions!$C$11)</f>
        <v/>
      </c>
      <c r="L118" s="20" t="str">
        <f aca="false">IF(OR($B118="",$C118=""),"",$J118*Assumptions!$C$10/$K118)</f>
        <v/>
      </c>
      <c r="M118" s="21" t="str">
        <f aca="false">IF(OR($B118="",$C118=""),"",MIN(Assumptions!$C$20,52/MAX($L118,Assumptions!$C$12)))</f>
        <v/>
      </c>
      <c r="N118" s="22" t="str">
        <f aca="false">IF(OR($B118="",$C118=""),"",SQRT(Assumptions!$C$24)*SQRT(2*$H118*(1-$H118)/($K118*4/Assumptions!$C$10))/$H118)</f>
        <v/>
      </c>
      <c r="O118" s="23" t="str">
        <f aca="false">IF(OR($B118="",$C118=""),"",IF(AND($L118&lt;=Assumptions!$C$16,$B118&gt;=Assumptions!$C$17),"Tier 1",IF(AND($L118&lt;=Assumptions!$C$18,$B118&gt;=Assumptions!$C$19),"Tier 2","Tier 3")))</f>
        <v/>
      </c>
      <c r="P118" s="24" t="str">
        <f aca="false">IF(OR($B118="",$C118=""),"",IF($O118="Tier 1","Pursue — offer trial; plan 2-week tests",IF($O118="Tier 2","Qualify — trial only on top-traffic pages, bold tests (≥10% lift)","Don't trial A/B — nurture or sell non-testing services")))</f>
        <v/>
      </c>
    </row>
    <row r="119" customFormat="false" ht="15" hidden="false" customHeight="false" outlineLevel="0" collapsed="false">
      <c r="A119" s="13"/>
      <c r="B119" s="14"/>
      <c r="C119" s="15"/>
      <c r="D119" s="14"/>
      <c r="E119" s="13"/>
      <c r="F119" s="16" t="str">
        <f aca="false">IF(OR($B119="",$C119=""),"",IF($D119="",Assumptions!$C$13,$D119))</f>
        <v/>
      </c>
      <c r="G119" s="17" t="str">
        <f aca="false">IF(OR($B119="",$C119=""),"",$B119*1000000/12/$C119)</f>
        <v/>
      </c>
      <c r="H119" s="18" t="str">
        <f aca="false">IF(OR($B119="",$C119=""),"",$G119/$F119)</f>
        <v/>
      </c>
      <c r="I119" s="19" t="str">
        <f aca="false">IF(OR($B119="",$C119=""),"",$C119*$H119)</f>
        <v/>
      </c>
      <c r="J119" s="19" t="str">
        <f aca="false">IF(OR($B119="",$C119=""),"",Assumptions!$C$24*($H119*(1-$H119)+$H119*(1+Assumptions!$C$9)*(1-$H119*(1+Assumptions!$C$9)))/($H119*Assumptions!$C$9)^2)</f>
        <v/>
      </c>
      <c r="K119" s="19" t="str">
        <f aca="false">IF(OR($B119="",$C119=""),"",$C119/Assumptions!$C$14*Assumptions!$C$11)</f>
        <v/>
      </c>
      <c r="L119" s="20" t="str">
        <f aca="false">IF(OR($B119="",$C119=""),"",$J119*Assumptions!$C$10/$K119)</f>
        <v/>
      </c>
      <c r="M119" s="21" t="str">
        <f aca="false">IF(OR($B119="",$C119=""),"",MIN(Assumptions!$C$20,52/MAX($L119,Assumptions!$C$12)))</f>
        <v/>
      </c>
      <c r="N119" s="22" t="str">
        <f aca="false">IF(OR($B119="",$C119=""),"",SQRT(Assumptions!$C$24)*SQRT(2*$H119*(1-$H119)/($K119*4/Assumptions!$C$10))/$H119)</f>
        <v/>
      </c>
      <c r="O119" s="23" t="str">
        <f aca="false">IF(OR($B119="",$C119=""),"",IF(AND($L119&lt;=Assumptions!$C$16,$B119&gt;=Assumptions!$C$17),"Tier 1",IF(AND($L119&lt;=Assumptions!$C$18,$B119&gt;=Assumptions!$C$19),"Tier 2","Tier 3")))</f>
        <v/>
      </c>
      <c r="P119" s="24" t="str">
        <f aca="false">IF(OR($B119="",$C119=""),"",IF($O119="Tier 1","Pursue — offer trial; plan 2-week tests",IF($O119="Tier 2","Qualify — trial only on top-traffic pages, bold tests (≥10% lift)","Don't trial A/B — nurture or sell non-testing services")))</f>
        <v/>
      </c>
    </row>
    <row r="120" customFormat="false" ht="15" hidden="false" customHeight="false" outlineLevel="0" collapsed="false">
      <c r="A120" s="13"/>
      <c r="B120" s="14"/>
      <c r="C120" s="15"/>
      <c r="D120" s="14"/>
      <c r="E120" s="13"/>
      <c r="F120" s="16" t="str">
        <f aca="false">IF(OR($B120="",$C120=""),"",IF($D120="",Assumptions!$C$13,$D120))</f>
        <v/>
      </c>
      <c r="G120" s="17" t="str">
        <f aca="false">IF(OR($B120="",$C120=""),"",$B120*1000000/12/$C120)</f>
        <v/>
      </c>
      <c r="H120" s="18" t="str">
        <f aca="false">IF(OR($B120="",$C120=""),"",$G120/$F120)</f>
        <v/>
      </c>
      <c r="I120" s="19" t="str">
        <f aca="false">IF(OR($B120="",$C120=""),"",$C120*$H120)</f>
        <v/>
      </c>
      <c r="J120" s="19" t="str">
        <f aca="false">IF(OR($B120="",$C120=""),"",Assumptions!$C$24*($H120*(1-$H120)+$H120*(1+Assumptions!$C$9)*(1-$H120*(1+Assumptions!$C$9)))/($H120*Assumptions!$C$9)^2)</f>
        <v/>
      </c>
      <c r="K120" s="19" t="str">
        <f aca="false">IF(OR($B120="",$C120=""),"",$C120/Assumptions!$C$14*Assumptions!$C$11)</f>
        <v/>
      </c>
      <c r="L120" s="20" t="str">
        <f aca="false">IF(OR($B120="",$C120=""),"",$J120*Assumptions!$C$10/$K120)</f>
        <v/>
      </c>
      <c r="M120" s="21" t="str">
        <f aca="false">IF(OR($B120="",$C120=""),"",MIN(Assumptions!$C$20,52/MAX($L120,Assumptions!$C$12)))</f>
        <v/>
      </c>
      <c r="N120" s="22" t="str">
        <f aca="false">IF(OR($B120="",$C120=""),"",SQRT(Assumptions!$C$24)*SQRT(2*$H120*(1-$H120)/($K120*4/Assumptions!$C$10))/$H120)</f>
        <v/>
      </c>
      <c r="O120" s="23" t="str">
        <f aca="false">IF(OR($B120="",$C120=""),"",IF(AND($L120&lt;=Assumptions!$C$16,$B120&gt;=Assumptions!$C$17),"Tier 1",IF(AND($L120&lt;=Assumptions!$C$18,$B120&gt;=Assumptions!$C$19),"Tier 2","Tier 3")))</f>
        <v/>
      </c>
      <c r="P120" s="24" t="str">
        <f aca="false">IF(OR($B120="",$C120=""),"",IF($O120="Tier 1","Pursue — offer trial; plan 2-week tests",IF($O120="Tier 2","Qualify — trial only on top-traffic pages, bold tests (≥10% lift)","Don't trial A/B — nurture or sell non-testing services")))</f>
        <v/>
      </c>
    </row>
    <row r="121" customFormat="false" ht="15" hidden="false" customHeight="false" outlineLevel="0" collapsed="false">
      <c r="A121" s="13"/>
      <c r="B121" s="14"/>
      <c r="C121" s="15"/>
      <c r="D121" s="14"/>
      <c r="E121" s="13"/>
      <c r="F121" s="16" t="str">
        <f aca="false">IF(OR($B121="",$C121=""),"",IF($D121="",Assumptions!$C$13,$D121))</f>
        <v/>
      </c>
      <c r="G121" s="17" t="str">
        <f aca="false">IF(OR($B121="",$C121=""),"",$B121*1000000/12/$C121)</f>
        <v/>
      </c>
      <c r="H121" s="18" t="str">
        <f aca="false">IF(OR($B121="",$C121=""),"",$G121/$F121)</f>
        <v/>
      </c>
      <c r="I121" s="19" t="str">
        <f aca="false">IF(OR($B121="",$C121=""),"",$C121*$H121)</f>
        <v/>
      </c>
      <c r="J121" s="19" t="str">
        <f aca="false">IF(OR($B121="",$C121=""),"",Assumptions!$C$24*($H121*(1-$H121)+$H121*(1+Assumptions!$C$9)*(1-$H121*(1+Assumptions!$C$9)))/($H121*Assumptions!$C$9)^2)</f>
        <v/>
      </c>
      <c r="K121" s="19" t="str">
        <f aca="false">IF(OR($B121="",$C121=""),"",$C121/Assumptions!$C$14*Assumptions!$C$11)</f>
        <v/>
      </c>
      <c r="L121" s="20" t="str">
        <f aca="false">IF(OR($B121="",$C121=""),"",$J121*Assumptions!$C$10/$K121)</f>
        <v/>
      </c>
      <c r="M121" s="21" t="str">
        <f aca="false">IF(OR($B121="",$C121=""),"",MIN(Assumptions!$C$20,52/MAX($L121,Assumptions!$C$12)))</f>
        <v/>
      </c>
      <c r="N121" s="22" t="str">
        <f aca="false">IF(OR($B121="",$C121=""),"",SQRT(Assumptions!$C$24)*SQRT(2*$H121*(1-$H121)/($K121*4/Assumptions!$C$10))/$H121)</f>
        <v/>
      </c>
      <c r="O121" s="23" t="str">
        <f aca="false">IF(OR($B121="",$C121=""),"",IF(AND($L121&lt;=Assumptions!$C$16,$B121&gt;=Assumptions!$C$17),"Tier 1",IF(AND($L121&lt;=Assumptions!$C$18,$B121&gt;=Assumptions!$C$19),"Tier 2","Tier 3")))</f>
        <v/>
      </c>
      <c r="P121" s="24" t="str">
        <f aca="false">IF(OR($B121="",$C121=""),"",IF($O121="Tier 1","Pursue — offer trial; plan 2-week tests",IF($O121="Tier 2","Qualify — trial only on top-traffic pages, bold tests (≥10% lift)","Don't trial A/B — nurture or sell non-testing services")))</f>
        <v/>
      </c>
    </row>
    <row r="122" customFormat="false" ht="15" hidden="false" customHeight="false" outlineLevel="0" collapsed="false">
      <c r="A122" s="13"/>
      <c r="B122" s="14"/>
      <c r="C122" s="15"/>
      <c r="D122" s="14"/>
      <c r="E122" s="13"/>
      <c r="F122" s="16" t="str">
        <f aca="false">IF(OR($B122="",$C122=""),"",IF($D122="",Assumptions!$C$13,$D122))</f>
        <v/>
      </c>
      <c r="G122" s="17" t="str">
        <f aca="false">IF(OR($B122="",$C122=""),"",$B122*1000000/12/$C122)</f>
        <v/>
      </c>
      <c r="H122" s="18" t="str">
        <f aca="false">IF(OR($B122="",$C122=""),"",$G122/$F122)</f>
        <v/>
      </c>
      <c r="I122" s="19" t="str">
        <f aca="false">IF(OR($B122="",$C122=""),"",$C122*$H122)</f>
        <v/>
      </c>
      <c r="J122" s="19" t="str">
        <f aca="false">IF(OR($B122="",$C122=""),"",Assumptions!$C$24*($H122*(1-$H122)+$H122*(1+Assumptions!$C$9)*(1-$H122*(1+Assumptions!$C$9)))/($H122*Assumptions!$C$9)^2)</f>
        <v/>
      </c>
      <c r="K122" s="19" t="str">
        <f aca="false">IF(OR($B122="",$C122=""),"",$C122/Assumptions!$C$14*Assumptions!$C$11)</f>
        <v/>
      </c>
      <c r="L122" s="20" t="str">
        <f aca="false">IF(OR($B122="",$C122=""),"",$J122*Assumptions!$C$10/$K122)</f>
        <v/>
      </c>
      <c r="M122" s="21" t="str">
        <f aca="false">IF(OR($B122="",$C122=""),"",MIN(Assumptions!$C$20,52/MAX($L122,Assumptions!$C$12)))</f>
        <v/>
      </c>
      <c r="N122" s="22" t="str">
        <f aca="false">IF(OR($B122="",$C122=""),"",SQRT(Assumptions!$C$24)*SQRT(2*$H122*(1-$H122)/($K122*4/Assumptions!$C$10))/$H122)</f>
        <v/>
      </c>
      <c r="O122" s="23" t="str">
        <f aca="false">IF(OR($B122="",$C122=""),"",IF(AND($L122&lt;=Assumptions!$C$16,$B122&gt;=Assumptions!$C$17),"Tier 1",IF(AND($L122&lt;=Assumptions!$C$18,$B122&gt;=Assumptions!$C$19),"Tier 2","Tier 3")))</f>
        <v/>
      </c>
      <c r="P122" s="24" t="str">
        <f aca="false">IF(OR($B122="",$C122=""),"",IF($O122="Tier 1","Pursue — offer trial; plan 2-week tests",IF($O122="Tier 2","Qualify — trial only on top-traffic pages, bold tests (≥10% lift)","Don't trial A/B — nurture or sell non-testing services")))</f>
        <v/>
      </c>
    </row>
    <row r="123" customFormat="false" ht="15" hidden="false" customHeight="false" outlineLevel="0" collapsed="false">
      <c r="A123" s="13"/>
      <c r="B123" s="14"/>
      <c r="C123" s="15"/>
      <c r="D123" s="14"/>
      <c r="E123" s="13"/>
      <c r="F123" s="16" t="str">
        <f aca="false">IF(OR($B123="",$C123=""),"",IF($D123="",Assumptions!$C$13,$D123))</f>
        <v/>
      </c>
      <c r="G123" s="17" t="str">
        <f aca="false">IF(OR($B123="",$C123=""),"",$B123*1000000/12/$C123)</f>
        <v/>
      </c>
      <c r="H123" s="18" t="str">
        <f aca="false">IF(OR($B123="",$C123=""),"",$G123/$F123)</f>
        <v/>
      </c>
      <c r="I123" s="19" t="str">
        <f aca="false">IF(OR($B123="",$C123=""),"",$C123*$H123)</f>
        <v/>
      </c>
      <c r="J123" s="19" t="str">
        <f aca="false">IF(OR($B123="",$C123=""),"",Assumptions!$C$24*($H123*(1-$H123)+$H123*(1+Assumptions!$C$9)*(1-$H123*(1+Assumptions!$C$9)))/($H123*Assumptions!$C$9)^2)</f>
        <v/>
      </c>
      <c r="K123" s="19" t="str">
        <f aca="false">IF(OR($B123="",$C123=""),"",$C123/Assumptions!$C$14*Assumptions!$C$11)</f>
        <v/>
      </c>
      <c r="L123" s="20" t="str">
        <f aca="false">IF(OR($B123="",$C123=""),"",$J123*Assumptions!$C$10/$K123)</f>
        <v/>
      </c>
      <c r="M123" s="21" t="str">
        <f aca="false">IF(OR($B123="",$C123=""),"",MIN(Assumptions!$C$20,52/MAX($L123,Assumptions!$C$12)))</f>
        <v/>
      </c>
      <c r="N123" s="22" t="str">
        <f aca="false">IF(OR($B123="",$C123=""),"",SQRT(Assumptions!$C$24)*SQRT(2*$H123*(1-$H123)/($K123*4/Assumptions!$C$10))/$H123)</f>
        <v/>
      </c>
      <c r="O123" s="23" t="str">
        <f aca="false">IF(OR($B123="",$C123=""),"",IF(AND($L123&lt;=Assumptions!$C$16,$B123&gt;=Assumptions!$C$17),"Tier 1",IF(AND($L123&lt;=Assumptions!$C$18,$B123&gt;=Assumptions!$C$19),"Tier 2","Tier 3")))</f>
        <v/>
      </c>
      <c r="P123" s="24" t="str">
        <f aca="false">IF(OR($B123="",$C123=""),"",IF($O123="Tier 1","Pursue — offer trial; plan 2-week tests",IF($O123="Tier 2","Qualify — trial only on top-traffic pages, bold tests (≥10% lift)","Don't trial A/B — nurture or sell non-testing services")))</f>
        <v/>
      </c>
    </row>
    <row r="124" customFormat="false" ht="15" hidden="false" customHeight="false" outlineLevel="0" collapsed="false">
      <c r="A124" s="13"/>
      <c r="B124" s="14"/>
      <c r="C124" s="15"/>
      <c r="D124" s="14"/>
      <c r="E124" s="13"/>
      <c r="F124" s="16" t="str">
        <f aca="false">IF(OR($B124="",$C124=""),"",IF($D124="",Assumptions!$C$13,$D124))</f>
        <v/>
      </c>
      <c r="G124" s="17" t="str">
        <f aca="false">IF(OR($B124="",$C124=""),"",$B124*1000000/12/$C124)</f>
        <v/>
      </c>
      <c r="H124" s="18" t="str">
        <f aca="false">IF(OR($B124="",$C124=""),"",$G124/$F124)</f>
        <v/>
      </c>
      <c r="I124" s="19" t="str">
        <f aca="false">IF(OR($B124="",$C124=""),"",$C124*$H124)</f>
        <v/>
      </c>
      <c r="J124" s="19" t="str">
        <f aca="false">IF(OR($B124="",$C124=""),"",Assumptions!$C$24*($H124*(1-$H124)+$H124*(1+Assumptions!$C$9)*(1-$H124*(1+Assumptions!$C$9)))/($H124*Assumptions!$C$9)^2)</f>
        <v/>
      </c>
      <c r="K124" s="19" t="str">
        <f aca="false">IF(OR($B124="",$C124=""),"",$C124/Assumptions!$C$14*Assumptions!$C$11)</f>
        <v/>
      </c>
      <c r="L124" s="20" t="str">
        <f aca="false">IF(OR($B124="",$C124=""),"",$J124*Assumptions!$C$10/$K124)</f>
        <v/>
      </c>
      <c r="M124" s="21" t="str">
        <f aca="false">IF(OR($B124="",$C124=""),"",MIN(Assumptions!$C$20,52/MAX($L124,Assumptions!$C$12)))</f>
        <v/>
      </c>
      <c r="N124" s="22" t="str">
        <f aca="false">IF(OR($B124="",$C124=""),"",SQRT(Assumptions!$C$24)*SQRT(2*$H124*(1-$H124)/($K124*4/Assumptions!$C$10))/$H124)</f>
        <v/>
      </c>
      <c r="O124" s="23" t="str">
        <f aca="false">IF(OR($B124="",$C124=""),"",IF(AND($L124&lt;=Assumptions!$C$16,$B124&gt;=Assumptions!$C$17),"Tier 1",IF(AND($L124&lt;=Assumptions!$C$18,$B124&gt;=Assumptions!$C$19),"Tier 2","Tier 3")))</f>
        <v/>
      </c>
      <c r="P124" s="24" t="str">
        <f aca="false">IF(OR($B124="",$C124=""),"",IF($O124="Tier 1","Pursue — offer trial; plan 2-week tests",IF($O124="Tier 2","Qualify — trial only on top-traffic pages, bold tests (≥10% lift)","Don't trial A/B — nurture or sell non-testing services")))</f>
        <v/>
      </c>
    </row>
    <row r="125" customFormat="false" ht="15" hidden="false" customHeight="false" outlineLevel="0" collapsed="false">
      <c r="A125" s="13"/>
      <c r="B125" s="14"/>
      <c r="C125" s="15"/>
      <c r="D125" s="14"/>
      <c r="E125" s="13"/>
      <c r="F125" s="16" t="str">
        <f aca="false">IF(OR($B125="",$C125=""),"",IF($D125="",Assumptions!$C$13,$D125))</f>
        <v/>
      </c>
      <c r="G125" s="17" t="str">
        <f aca="false">IF(OR($B125="",$C125=""),"",$B125*1000000/12/$C125)</f>
        <v/>
      </c>
      <c r="H125" s="18" t="str">
        <f aca="false">IF(OR($B125="",$C125=""),"",$G125/$F125)</f>
        <v/>
      </c>
      <c r="I125" s="19" t="str">
        <f aca="false">IF(OR($B125="",$C125=""),"",$C125*$H125)</f>
        <v/>
      </c>
      <c r="J125" s="19" t="str">
        <f aca="false">IF(OR($B125="",$C125=""),"",Assumptions!$C$24*($H125*(1-$H125)+$H125*(1+Assumptions!$C$9)*(1-$H125*(1+Assumptions!$C$9)))/($H125*Assumptions!$C$9)^2)</f>
        <v/>
      </c>
      <c r="K125" s="19" t="str">
        <f aca="false">IF(OR($B125="",$C125=""),"",$C125/Assumptions!$C$14*Assumptions!$C$11)</f>
        <v/>
      </c>
      <c r="L125" s="20" t="str">
        <f aca="false">IF(OR($B125="",$C125=""),"",$J125*Assumptions!$C$10/$K125)</f>
        <v/>
      </c>
      <c r="M125" s="21" t="str">
        <f aca="false">IF(OR($B125="",$C125=""),"",MIN(Assumptions!$C$20,52/MAX($L125,Assumptions!$C$12)))</f>
        <v/>
      </c>
      <c r="N125" s="22" t="str">
        <f aca="false">IF(OR($B125="",$C125=""),"",SQRT(Assumptions!$C$24)*SQRT(2*$H125*(1-$H125)/($K125*4/Assumptions!$C$10))/$H125)</f>
        <v/>
      </c>
      <c r="O125" s="23" t="str">
        <f aca="false">IF(OR($B125="",$C125=""),"",IF(AND($L125&lt;=Assumptions!$C$16,$B125&gt;=Assumptions!$C$17),"Tier 1",IF(AND($L125&lt;=Assumptions!$C$18,$B125&gt;=Assumptions!$C$19),"Tier 2","Tier 3")))</f>
        <v/>
      </c>
      <c r="P125" s="24" t="str">
        <f aca="false">IF(OR($B125="",$C125=""),"",IF($O125="Tier 1","Pursue — offer trial; plan 2-week tests",IF($O125="Tier 2","Qualify — trial only on top-traffic pages, bold tests (≥10% lift)","Don't trial A/B — nurture or sell non-testing services")))</f>
        <v/>
      </c>
    </row>
    <row r="126" customFormat="false" ht="15" hidden="false" customHeight="false" outlineLevel="0" collapsed="false">
      <c r="A126" s="13"/>
      <c r="B126" s="14"/>
      <c r="C126" s="15"/>
      <c r="D126" s="14"/>
      <c r="E126" s="13"/>
      <c r="F126" s="16" t="str">
        <f aca="false">IF(OR($B126="",$C126=""),"",IF($D126="",Assumptions!$C$13,$D126))</f>
        <v/>
      </c>
      <c r="G126" s="17" t="str">
        <f aca="false">IF(OR($B126="",$C126=""),"",$B126*1000000/12/$C126)</f>
        <v/>
      </c>
      <c r="H126" s="18" t="str">
        <f aca="false">IF(OR($B126="",$C126=""),"",$G126/$F126)</f>
        <v/>
      </c>
      <c r="I126" s="19" t="str">
        <f aca="false">IF(OR($B126="",$C126=""),"",$C126*$H126)</f>
        <v/>
      </c>
      <c r="J126" s="19" t="str">
        <f aca="false">IF(OR($B126="",$C126=""),"",Assumptions!$C$24*($H126*(1-$H126)+$H126*(1+Assumptions!$C$9)*(1-$H126*(1+Assumptions!$C$9)))/($H126*Assumptions!$C$9)^2)</f>
        <v/>
      </c>
      <c r="K126" s="19" t="str">
        <f aca="false">IF(OR($B126="",$C126=""),"",$C126/Assumptions!$C$14*Assumptions!$C$11)</f>
        <v/>
      </c>
      <c r="L126" s="20" t="str">
        <f aca="false">IF(OR($B126="",$C126=""),"",$J126*Assumptions!$C$10/$K126)</f>
        <v/>
      </c>
      <c r="M126" s="21" t="str">
        <f aca="false">IF(OR($B126="",$C126=""),"",MIN(Assumptions!$C$20,52/MAX($L126,Assumptions!$C$12)))</f>
        <v/>
      </c>
      <c r="N126" s="22" t="str">
        <f aca="false">IF(OR($B126="",$C126=""),"",SQRT(Assumptions!$C$24)*SQRT(2*$H126*(1-$H126)/($K126*4/Assumptions!$C$10))/$H126)</f>
        <v/>
      </c>
      <c r="O126" s="23" t="str">
        <f aca="false">IF(OR($B126="",$C126=""),"",IF(AND($L126&lt;=Assumptions!$C$16,$B126&gt;=Assumptions!$C$17),"Tier 1",IF(AND($L126&lt;=Assumptions!$C$18,$B126&gt;=Assumptions!$C$19),"Tier 2","Tier 3")))</f>
        <v/>
      </c>
      <c r="P126" s="24" t="str">
        <f aca="false">IF(OR($B126="",$C126=""),"",IF($O126="Tier 1","Pursue — offer trial; plan 2-week tests",IF($O126="Tier 2","Qualify — trial only on top-traffic pages, bold tests (≥10% lift)","Don't trial A/B — nurture or sell non-testing services")))</f>
        <v/>
      </c>
    </row>
    <row r="127" customFormat="false" ht="15" hidden="false" customHeight="false" outlineLevel="0" collapsed="false">
      <c r="A127" s="13"/>
      <c r="B127" s="14"/>
      <c r="C127" s="15"/>
      <c r="D127" s="14"/>
      <c r="E127" s="13"/>
      <c r="F127" s="16" t="str">
        <f aca="false">IF(OR($B127="",$C127=""),"",IF($D127="",Assumptions!$C$13,$D127))</f>
        <v/>
      </c>
      <c r="G127" s="17" t="str">
        <f aca="false">IF(OR($B127="",$C127=""),"",$B127*1000000/12/$C127)</f>
        <v/>
      </c>
      <c r="H127" s="18" t="str">
        <f aca="false">IF(OR($B127="",$C127=""),"",$G127/$F127)</f>
        <v/>
      </c>
      <c r="I127" s="19" t="str">
        <f aca="false">IF(OR($B127="",$C127=""),"",$C127*$H127)</f>
        <v/>
      </c>
      <c r="J127" s="19" t="str">
        <f aca="false">IF(OR($B127="",$C127=""),"",Assumptions!$C$24*($H127*(1-$H127)+$H127*(1+Assumptions!$C$9)*(1-$H127*(1+Assumptions!$C$9)))/($H127*Assumptions!$C$9)^2)</f>
        <v/>
      </c>
      <c r="K127" s="19" t="str">
        <f aca="false">IF(OR($B127="",$C127=""),"",$C127/Assumptions!$C$14*Assumptions!$C$11)</f>
        <v/>
      </c>
      <c r="L127" s="20" t="str">
        <f aca="false">IF(OR($B127="",$C127=""),"",$J127*Assumptions!$C$10/$K127)</f>
        <v/>
      </c>
      <c r="M127" s="21" t="str">
        <f aca="false">IF(OR($B127="",$C127=""),"",MIN(Assumptions!$C$20,52/MAX($L127,Assumptions!$C$12)))</f>
        <v/>
      </c>
      <c r="N127" s="22" t="str">
        <f aca="false">IF(OR($B127="",$C127=""),"",SQRT(Assumptions!$C$24)*SQRT(2*$H127*(1-$H127)/($K127*4/Assumptions!$C$10))/$H127)</f>
        <v/>
      </c>
      <c r="O127" s="23" t="str">
        <f aca="false">IF(OR($B127="",$C127=""),"",IF(AND($L127&lt;=Assumptions!$C$16,$B127&gt;=Assumptions!$C$17),"Tier 1",IF(AND($L127&lt;=Assumptions!$C$18,$B127&gt;=Assumptions!$C$19),"Tier 2","Tier 3")))</f>
        <v/>
      </c>
      <c r="P127" s="24" t="str">
        <f aca="false">IF(OR($B127="",$C127=""),"",IF($O127="Tier 1","Pursue — offer trial; plan 2-week tests",IF($O127="Tier 2","Qualify — trial only on top-traffic pages, bold tests (≥10% lift)","Don't trial A/B — nurture or sell non-testing services")))</f>
        <v/>
      </c>
    </row>
    <row r="128" customFormat="false" ht="15" hidden="false" customHeight="false" outlineLevel="0" collapsed="false">
      <c r="A128" s="13"/>
      <c r="B128" s="14"/>
      <c r="C128" s="15"/>
      <c r="D128" s="14"/>
      <c r="E128" s="13"/>
      <c r="F128" s="16" t="str">
        <f aca="false">IF(OR($B128="",$C128=""),"",IF($D128="",Assumptions!$C$13,$D128))</f>
        <v/>
      </c>
      <c r="G128" s="17" t="str">
        <f aca="false">IF(OR($B128="",$C128=""),"",$B128*1000000/12/$C128)</f>
        <v/>
      </c>
      <c r="H128" s="18" t="str">
        <f aca="false">IF(OR($B128="",$C128=""),"",$G128/$F128)</f>
        <v/>
      </c>
      <c r="I128" s="19" t="str">
        <f aca="false">IF(OR($B128="",$C128=""),"",$C128*$H128)</f>
        <v/>
      </c>
      <c r="J128" s="19" t="str">
        <f aca="false">IF(OR($B128="",$C128=""),"",Assumptions!$C$24*($H128*(1-$H128)+$H128*(1+Assumptions!$C$9)*(1-$H128*(1+Assumptions!$C$9)))/($H128*Assumptions!$C$9)^2)</f>
        <v/>
      </c>
      <c r="K128" s="19" t="str">
        <f aca="false">IF(OR($B128="",$C128=""),"",$C128/Assumptions!$C$14*Assumptions!$C$11)</f>
        <v/>
      </c>
      <c r="L128" s="20" t="str">
        <f aca="false">IF(OR($B128="",$C128=""),"",$J128*Assumptions!$C$10/$K128)</f>
        <v/>
      </c>
      <c r="M128" s="21" t="str">
        <f aca="false">IF(OR($B128="",$C128=""),"",MIN(Assumptions!$C$20,52/MAX($L128,Assumptions!$C$12)))</f>
        <v/>
      </c>
      <c r="N128" s="22" t="str">
        <f aca="false">IF(OR($B128="",$C128=""),"",SQRT(Assumptions!$C$24)*SQRT(2*$H128*(1-$H128)/($K128*4/Assumptions!$C$10))/$H128)</f>
        <v/>
      </c>
      <c r="O128" s="23" t="str">
        <f aca="false">IF(OR($B128="",$C128=""),"",IF(AND($L128&lt;=Assumptions!$C$16,$B128&gt;=Assumptions!$C$17),"Tier 1",IF(AND($L128&lt;=Assumptions!$C$18,$B128&gt;=Assumptions!$C$19),"Tier 2","Tier 3")))</f>
        <v/>
      </c>
      <c r="P128" s="24" t="str">
        <f aca="false">IF(OR($B128="",$C128=""),"",IF($O128="Tier 1","Pursue — offer trial; plan 2-week tests",IF($O128="Tier 2","Qualify — trial only on top-traffic pages, bold tests (≥10% lift)","Don't trial A/B — nurture or sell non-testing services")))</f>
        <v/>
      </c>
    </row>
    <row r="129" customFormat="false" ht="15" hidden="false" customHeight="false" outlineLevel="0" collapsed="false">
      <c r="A129" s="13"/>
      <c r="B129" s="14"/>
      <c r="C129" s="15"/>
      <c r="D129" s="14"/>
      <c r="E129" s="13"/>
      <c r="F129" s="16" t="str">
        <f aca="false">IF(OR($B129="",$C129=""),"",IF($D129="",Assumptions!$C$13,$D129))</f>
        <v/>
      </c>
      <c r="G129" s="17" t="str">
        <f aca="false">IF(OR($B129="",$C129=""),"",$B129*1000000/12/$C129)</f>
        <v/>
      </c>
      <c r="H129" s="18" t="str">
        <f aca="false">IF(OR($B129="",$C129=""),"",$G129/$F129)</f>
        <v/>
      </c>
      <c r="I129" s="19" t="str">
        <f aca="false">IF(OR($B129="",$C129=""),"",$C129*$H129)</f>
        <v/>
      </c>
      <c r="J129" s="19" t="str">
        <f aca="false">IF(OR($B129="",$C129=""),"",Assumptions!$C$24*($H129*(1-$H129)+$H129*(1+Assumptions!$C$9)*(1-$H129*(1+Assumptions!$C$9)))/($H129*Assumptions!$C$9)^2)</f>
        <v/>
      </c>
      <c r="K129" s="19" t="str">
        <f aca="false">IF(OR($B129="",$C129=""),"",$C129/Assumptions!$C$14*Assumptions!$C$11)</f>
        <v/>
      </c>
      <c r="L129" s="20" t="str">
        <f aca="false">IF(OR($B129="",$C129=""),"",$J129*Assumptions!$C$10/$K129)</f>
        <v/>
      </c>
      <c r="M129" s="21" t="str">
        <f aca="false">IF(OR($B129="",$C129=""),"",MIN(Assumptions!$C$20,52/MAX($L129,Assumptions!$C$12)))</f>
        <v/>
      </c>
      <c r="N129" s="22" t="str">
        <f aca="false">IF(OR($B129="",$C129=""),"",SQRT(Assumptions!$C$24)*SQRT(2*$H129*(1-$H129)/($K129*4/Assumptions!$C$10))/$H129)</f>
        <v/>
      </c>
      <c r="O129" s="23" t="str">
        <f aca="false">IF(OR($B129="",$C129=""),"",IF(AND($L129&lt;=Assumptions!$C$16,$B129&gt;=Assumptions!$C$17),"Tier 1",IF(AND($L129&lt;=Assumptions!$C$18,$B129&gt;=Assumptions!$C$19),"Tier 2","Tier 3")))</f>
        <v/>
      </c>
      <c r="P129" s="24" t="str">
        <f aca="false">IF(OR($B129="",$C129=""),"",IF($O129="Tier 1","Pursue — offer trial; plan 2-week tests",IF($O129="Tier 2","Qualify — trial only on top-traffic pages, bold tests (≥10% lift)","Don't trial A/B — nurture or sell non-testing services")))</f>
        <v/>
      </c>
    </row>
    <row r="130" customFormat="false" ht="15" hidden="false" customHeight="false" outlineLevel="0" collapsed="false">
      <c r="A130" s="13"/>
      <c r="B130" s="14"/>
      <c r="C130" s="15"/>
      <c r="D130" s="14"/>
      <c r="E130" s="13"/>
      <c r="F130" s="16" t="str">
        <f aca="false">IF(OR($B130="",$C130=""),"",IF($D130="",Assumptions!$C$13,$D130))</f>
        <v/>
      </c>
      <c r="G130" s="17" t="str">
        <f aca="false">IF(OR($B130="",$C130=""),"",$B130*1000000/12/$C130)</f>
        <v/>
      </c>
      <c r="H130" s="18" t="str">
        <f aca="false">IF(OR($B130="",$C130=""),"",$G130/$F130)</f>
        <v/>
      </c>
      <c r="I130" s="19" t="str">
        <f aca="false">IF(OR($B130="",$C130=""),"",$C130*$H130)</f>
        <v/>
      </c>
      <c r="J130" s="19" t="str">
        <f aca="false">IF(OR($B130="",$C130=""),"",Assumptions!$C$24*($H130*(1-$H130)+$H130*(1+Assumptions!$C$9)*(1-$H130*(1+Assumptions!$C$9)))/($H130*Assumptions!$C$9)^2)</f>
        <v/>
      </c>
      <c r="K130" s="19" t="str">
        <f aca="false">IF(OR($B130="",$C130=""),"",$C130/Assumptions!$C$14*Assumptions!$C$11)</f>
        <v/>
      </c>
      <c r="L130" s="20" t="str">
        <f aca="false">IF(OR($B130="",$C130=""),"",$J130*Assumptions!$C$10/$K130)</f>
        <v/>
      </c>
      <c r="M130" s="21" t="str">
        <f aca="false">IF(OR($B130="",$C130=""),"",MIN(Assumptions!$C$20,52/MAX($L130,Assumptions!$C$12)))</f>
        <v/>
      </c>
      <c r="N130" s="22" t="str">
        <f aca="false">IF(OR($B130="",$C130=""),"",SQRT(Assumptions!$C$24)*SQRT(2*$H130*(1-$H130)/($K130*4/Assumptions!$C$10))/$H130)</f>
        <v/>
      </c>
      <c r="O130" s="23" t="str">
        <f aca="false">IF(OR($B130="",$C130=""),"",IF(AND($L130&lt;=Assumptions!$C$16,$B130&gt;=Assumptions!$C$17),"Tier 1",IF(AND($L130&lt;=Assumptions!$C$18,$B130&gt;=Assumptions!$C$19),"Tier 2","Tier 3")))</f>
        <v/>
      </c>
      <c r="P130" s="24" t="str">
        <f aca="false">IF(OR($B130="",$C130=""),"",IF($O130="Tier 1","Pursue — offer trial; plan 2-week tests",IF($O130="Tier 2","Qualify — trial only on top-traffic pages, bold tests (≥10% lift)","Don't trial A/B — nurture or sell non-testing services")))</f>
        <v/>
      </c>
    </row>
    <row r="131" customFormat="false" ht="15" hidden="false" customHeight="false" outlineLevel="0" collapsed="false">
      <c r="A131" s="13"/>
      <c r="B131" s="14"/>
      <c r="C131" s="15"/>
      <c r="D131" s="14"/>
      <c r="E131" s="13"/>
      <c r="F131" s="16" t="str">
        <f aca="false">IF(OR($B131="",$C131=""),"",IF($D131="",Assumptions!$C$13,$D131))</f>
        <v/>
      </c>
      <c r="G131" s="17" t="str">
        <f aca="false">IF(OR($B131="",$C131=""),"",$B131*1000000/12/$C131)</f>
        <v/>
      </c>
      <c r="H131" s="18" t="str">
        <f aca="false">IF(OR($B131="",$C131=""),"",$G131/$F131)</f>
        <v/>
      </c>
      <c r="I131" s="19" t="str">
        <f aca="false">IF(OR($B131="",$C131=""),"",$C131*$H131)</f>
        <v/>
      </c>
      <c r="J131" s="19" t="str">
        <f aca="false">IF(OR($B131="",$C131=""),"",Assumptions!$C$24*($H131*(1-$H131)+$H131*(1+Assumptions!$C$9)*(1-$H131*(1+Assumptions!$C$9)))/($H131*Assumptions!$C$9)^2)</f>
        <v/>
      </c>
      <c r="K131" s="19" t="str">
        <f aca="false">IF(OR($B131="",$C131=""),"",$C131/Assumptions!$C$14*Assumptions!$C$11)</f>
        <v/>
      </c>
      <c r="L131" s="20" t="str">
        <f aca="false">IF(OR($B131="",$C131=""),"",$J131*Assumptions!$C$10/$K131)</f>
        <v/>
      </c>
      <c r="M131" s="21" t="str">
        <f aca="false">IF(OR($B131="",$C131=""),"",MIN(Assumptions!$C$20,52/MAX($L131,Assumptions!$C$12)))</f>
        <v/>
      </c>
      <c r="N131" s="22" t="str">
        <f aca="false">IF(OR($B131="",$C131=""),"",SQRT(Assumptions!$C$24)*SQRT(2*$H131*(1-$H131)/($K131*4/Assumptions!$C$10))/$H131)</f>
        <v/>
      </c>
      <c r="O131" s="23" t="str">
        <f aca="false">IF(OR($B131="",$C131=""),"",IF(AND($L131&lt;=Assumptions!$C$16,$B131&gt;=Assumptions!$C$17),"Tier 1",IF(AND($L131&lt;=Assumptions!$C$18,$B131&gt;=Assumptions!$C$19),"Tier 2","Tier 3")))</f>
        <v/>
      </c>
      <c r="P131" s="24" t="str">
        <f aca="false">IF(OR($B131="",$C131=""),"",IF($O131="Tier 1","Pursue — offer trial; plan 2-week tests",IF($O131="Tier 2","Qualify — trial only on top-traffic pages, bold tests (≥10% lift)","Don't trial A/B — nurture or sell non-testing services")))</f>
        <v/>
      </c>
    </row>
    <row r="132" customFormat="false" ht="15" hidden="false" customHeight="false" outlineLevel="0" collapsed="false">
      <c r="A132" s="13"/>
      <c r="B132" s="14"/>
      <c r="C132" s="15"/>
      <c r="D132" s="14"/>
      <c r="E132" s="13"/>
      <c r="F132" s="16" t="str">
        <f aca="false">IF(OR($B132="",$C132=""),"",IF($D132="",Assumptions!$C$13,$D132))</f>
        <v/>
      </c>
      <c r="G132" s="17" t="str">
        <f aca="false">IF(OR($B132="",$C132=""),"",$B132*1000000/12/$C132)</f>
        <v/>
      </c>
      <c r="H132" s="18" t="str">
        <f aca="false">IF(OR($B132="",$C132=""),"",$G132/$F132)</f>
        <v/>
      </c>
      <c r="I132" s="19" t="str">
        <f aca="false">IF(OR($B132="",$C132=""),"",$C132*$H132)</f>
        <v/>
      </c>
      <c r="J132" s="19" t="str">
        <f aca="false">IF(OR($B132="",$C132=""),"",Assumptions!$C$24*($H132*(1-$H132)+$H132*(1+Assumptions!$C$9)*(1-$H132*(1+Assumptions!$C$9)))/($H132*Assumptions!$C$9)^2)</f>
        <v/>
      </c>
      <c r="K132" s="19" t="str">
        <f aca="false">IF(OR($B132="",$C132=""),"",$C132/Assumptions!$C$14*Assumptions!$C$11)</f>
        <v/>
      </c>
      <c r="L132" s="20" t="str">
        <f aca="false">IF(OR($B132="",$C132=""),"",$J132*Assumptions!$C$10/$K132)</f>
        <v/>
      </c>
      <c r="M132" s="21" t="str">
        <f aca="false">IF(OR($B132="",$C132=""),"",MIN(Assumptions!$C$20,52/MAX($L132,Assumptions!$C$12)))</f>
        <v/>
      </c>
      <c r="N132" s="22" t="str">
        <f aca="false">IF(OR($B132="",$C132=""),"",SQRT(Assumptions!$C$24)*SQRT(2*$H132*(1-$H132)/($K132*4/Assumptions!$C$10))/$H132)</f>
        <v/>
      </c>
      <c r="O132" s="23" t="str">
        <f aca="false">IF(OR($B132="",$C132=""),"",IF(AND($L132&lt;=Assumptions!$C$16,$B132&gt;=Assumptions!$C$17),"Tier 1",IF(AND($L132&lt;=Assumptions!$C$18,$B132&gt;=Assumptions!$C$19),"Tier 2","Tier 3")))</f>
        <v/>
      </c>
      <c r="P132" s="24" t="str">
        <f aca="false">IF(OR($B132="",$C132=""),"",IF($O132="Tier 1","Pursue — offer trial; plan 2-week tests",IF($O132="Tier 2","Qualify — trial only on top-traffic pages, bold tests (≥10% lift)","Don't trial A/B — nurture or sell non-testing services")))</f>
        <v/>
      </c>
    </row>
    <row r="133" customFormat="false" ht="15" hidden="false" customHeight="false" outlineLevel="0" collapsed="false">
      <c r="A133" s="13"/>
      <c r="B133" s="14"/>
      <c r="C133" s="15"/>
      <c r="D133" s="14"/>
      <c r="E133" s="13"/>
      <c r="F133" s="16" t="str">
        <f aca="false">IF(OR($B133="",$C133=""),"",IF($D133="",Assumptions!$C$13,$D133))</f>
        <v/>
      </c>
      <c r="G133" s="17" t="str">
        <f aca="false">IF(OR($B133="",$C133=""),"",$B133*1000000/12/$C133)</f>
        <v/>
      </c>
      <c r="H133" s="18" t="str">
        <f aca="false">IF(OR($B133="",$C133=""),"",$G133/$F133)</f>
        <v/>
      </c>
      <c r="I133" s="19" t="str">
        <f aca="false">IF(OR($B133="",$C133=""),"",$C133*$H133)</f>
        <v/>
      </c>
      <c r="J133" s="19" t="str">
        <f aca="false">IF(OR($B133="",$C133=""),"",Assumptions!$C$24*($H133*(1-$H133)+$H133*(1+Assumptions!$C$9)*(1-$H133*(1+Assumptions!$C$9)))/($H133*Assumptions!$C$9)^2)</f>
        <v/>
      </c>
      <c r="K133" s="19" t="str">
        <f aca="false">IF(OR($B133="",$C133=""),"",$C133/Assumptions!$C$14*Assumptions!$C$11)</f>
        <v/>
      </c>
      <c r="L133" s="20" t="str">
        <f aca="false">IF(OR($B133="",$C133=""),"",$J133*Assumptions!$C$10/$K133)</f>
        <v/>
      </c>
      <c r="M133" s="21" t="str">
        <f aca="false">IF(OR($B133="",$C133=""),"",MIN(Assumptions!$C$20,52/MAX($L133,Assumptions!$C$12)))</f>
        <v/>
      </c>
      <c r="N133" s="22" t="str">
        <f aca="false">IF(OR($B133="",$C133=""),"",SQRT(Assumptions!$C$24)*SQRT(2*$H133*(1-$H133)/($K133*4/Assumptions!$C$10))/$H133)</f>
        <v/>
      </c>
      <c r="O133" s="23" t="str">
        <f aca="false">IF(OR($B133="",$C133=""),"",IF(AND($L133&lt;=Assumptions!$C$16,$B133&gt;=Assumptions!$C$17),"Tier 1",IF(AND($L133&lt;=Assumptions!$C$18,$B133&gt;=Assumptions!$C$19),"Tier 2","Tier 3")))</f>
        <v/>
      </c>
      <c r="P133" s="24" t="str">
        <f aca="false">IF(OR($B133="",$C133=""),"",IF($O133="Tier 1","Pursue — offer trial; plan 2-week tests",IF($O133="Tier 2","Qualify — trial only on top-traffic pages, bold tests (≥10% lift)","Don't trial A/B — nurture or sell non-testing services")))</f>
        <v/>
      </c>
    </row>
    <row r="134" customFormat="false" ht="15" hidden="false" customHeight="false" outlineLevel="0" collapsed="false">
      <c r="A134" s="13"/>
      <c r="B134" s="14"/>
      <c r="C134" s="15"/>
      <c r="D134" s="14"/>
      <c r="E134" s="13"/>
      <c r="F134" s="16" t="str">
        <f aca="false">IF(OR($B134="",$C134=""),"",IF($D134="",Assumptions!$C$13,$D134))</f>
        <v/>
      </c>
      <c r="G134" s="17" t="str">
        <f aca="false">IF(OR($B134="",$C134=""),"",$B134*1000000/12/$C134)</f>
        <v/>
      </c>
      <c r="H134" s="18" t="str">
        <f aca="false">IF(OR($B134="",$C134=""),"",$G134/$F134)</f>
        <v/>
      </c>
      <c r="I134" s="19" t="str">
        <f aca="false">IF(OR($B134="",$C134=""),"",$C134*$H134)</f>
        <v/>
      </c>
      <c r="J134" s="19" t="str">
        <f aca="false">IF(OR($B134="",$C134=""),"",Assumptions!$C$24*($H134*(1-$H134)+$H134*(1+Assumptions!$C$9)*(1-$H134*(1+Assumptions!$C$9)))/($H134*Assumptions!$C$9)^2)</f>
        <v/>
      </c>
      <c r="K134" s="19" t="str">
        <f aca="false">IF(OR($B134="",$C134=""),"",$C134/Assumptions!$C$14*Assumptions!$C$11)</f>
        <v/>
      </c>
      <c r="L134" s="20" t="str">
        <f aca="false">IF(OR($B134="",$C134=""),"",$J134*Assumptions!$C$10/$K134)</f>
        <v/>
      </c>
      <c r="M134" s="21" t="str">
        <f aca="false">IF(OR($B134="",$C134=""),"",MIN(Assumptions!$C$20,52/MAX($L134,Assumptions!$C$12)))</f>
        <v/>
      </c>
      <c r="N134" s="22" t="str">
        <f aca="false">IF(OR($B134="",$C134=""),"",SQRT(Assumptions!$C$24)*SQRT(2*$H134*(1-$H134)/($K134*4/Assumptions!$C$10))/$H134)</f>
        <v/>
      </c>
      <c r="O134" s="23" t="str">
        <f aca="false">IF(OR($B134="",$C134=""),"",IF(AND($L134&lt;=Assumptions!$C$16,$B134&gt;=Assumptions!$C$17),"Tier 1",IF(AND($L134&lt;=Assumptions!$C$18,$B134&gt;=Assumptions!$C$19),"Tier 2","Tier 3")))</f>
        <v/>
      </c>
      <c r="P134" s="24" t="str">
        <f aca="false">IF(OR($B134="",$C134=""),"",IF($O134="Tier 1","Pursue — offer trial; plan 2-week tests",IF($O134="Tier 2","Qualify — trial only on top-traffic pages, bold tests (≥10% lift)","Don't trial A/B — nurture or sell non-testing services")))</f>
        <v/>
      </c>
    </row>
    <row r="135" customFormat="false" ht="15" hidden="false" customHeight="false" outlineLevel="0" collapsed="false">
      <c r="A135" s="13"/>
      <c r="B135" s="14"/>
      <c r="C135" s="15"/>
      <c r="D135" s="14"/>
      <c r="E135" s="13"/>
      <c r="F135" s="16" t="str">
        <f aca="false">IF(OR($B135="",$C135=""),"",IF($D135="",Assumptions!$C$13,$D135))</f>
        <v/>
      </c>
      <c r="G135" s="17" t="str">
        <f aca="false">IF(OR($B135="",$C135=""),"",$B135*1000000/12/$C135)</f>
        <v/>
      </c>
      <c r="H135" s="18" t="str">
        <f aca="false">IF(OR($B135="",$C135=""),"",$G135/$F135)</f>
        <v/>
      </c>
      <c r="I135" s="19" t="str">
        <f aca="false">IF(OR($B135="",$C135=""),"",$C135*$H135)</f>
        <v/>
      </c>
      <c r="J135" s="19" t="str">
        <f aca="false">IF(OR($B135="",$C135=""),"",Assumptions!$C$24*($H135*(1-$H135)+$H135*(1+Assumptions!$C$9)*(1-$H135*(1+Assumptions!$C$9)))/($H135*Assumptions!$C$9)^2)</f>
        <v/>
      </c>
      <c r="K135" s="19" t="str">
        <f aca="false">IF(OR($B135="",$C135=""),"",$C135/Assumptions!$C$14*Assumptions!$C$11)</f>
        <v/>
      </c>
      <c r="L135" s="20" t="str">
        <f aca="false">IF(OR($B135="",$C135=""),"",$J135*Assumptions!$C$10/$K135)</f>
        <v/>
      </c>
      <c r="M135" s="21" t="str">
        <f aca="false">IF(OR($B135="",$C135=""),"",MIN(Assumptions!$C$20,52/MAX($L135,Assumptions!$C$12)))</f>
        <v/>
      </c>
      <c r="N135" s="22" t="str">
        <f aca="false">IF(OR($B135="",$C135=""),"",SQRT(Assumptions!$C$24)*SQRT(2*$H135*(1-$H135)/($K135*4/Assumptions!$C$10))/$H135)</f>
        <v/>
      </c>
      <c r="O135" s="23" t="str">
        <f aca="false">IF(OR($B135="",$C135=""),"",IF(AND($L135&lt;=Assumptions!$C$16,$B135&gt;=Assumptions!$C$17),"Tier 1",IF(AND($L135&lt;=Assumptions!$C$18,$B135&gt;=Assumptions!$C$19),"Tier 2","Tier 3")))</f>
        <v/>
      </c>
      <c r="P135" s="24" t="str">
        <f aca="false">IF(OR($B135="",$C135=""),"",IF($O135="Tier 1","Pursue — offer trial; plan 2-week tests",IF($O135="Tier 2","Qualify — trial only on top-traffic pages, bold tests (≥10% lift)","Don't trial A/B — nurture or sell non-testing services")))</f>
        <v/>
      </c>
    </row>
    <row r="136" customFormat="false" ht="15" hidden="false" customHeight="false" outlineLevel="0" collapsed="false">
      <c r="A136" s="13"/>
      <c r="B136" s="14"/>
      <c r="C136" s="15"/>
      <c r="D136" s="14"/>
      <c r="E136" s="13"/>
      <c r="F136" s="16" t="str">
        <f aca="false">IF(OR($B136="",$C136=""),"",IF($D136="",Assumptions!$C$13,$D136))</f>
        <v/>
      </c>
      <c r="G136" s="17" t="str">
        <f aca="false">IF(OR($B136="",$C136=""),"",$B136*1000000/12/$C136)</f>
        <v/>
      </c>
      <c r="H136" s="18" t="str">
        <f aca="false">IF(OR($B136="",$C136=""),"",$G136/$F136)</f>
        <v/>
      </c>
      <c r="I136" s="19" t="str">
        <f aca="false">IF(OR($B136="",$C136=""),"",$C136*$H136)</f>
        <v/>
      </c>
      <c r="J136" s="19" t="str">
        <f aca="false">IF(OR($B136="",$C136=""),"",Assumptions!$C$24*($H136*(1-$H136)+$H136*(1+Assumptions!$C$9)*(1-$H136*(1+Assumptions!$C$9)))/($H136*Assumptions!$C$9)^2)</f>
        <v/>
      </c>
      <c r="K136" s="19" t="str">
        <f aca="false">IF(OR($B136="",$C136=""),"",$C136/Assumptions!$C$14*Assumptions!$C$11)</f>
        <v/>
      </c>
      <c r="L136" s="20" t="str">
        <f aca="false">IF(OR($B136="",$C136=""),"",$J136*Assumptions!$C$10/$K136)</f>
        <v/>
      </c>
      <c r="M136" s="21" t="str">
        <f aca="false">IF(OR($B136="",$C136=""),"",MIN(Assumptions!$C$20,52/MAX($L136,Assumptions!$C$12)))</f>
        <v/>
      </c>
      <c r="N136" s="22" t="str">
        <f aca="false">IF(OR($B136="",$C136=""),"",SQRT(Assumptions!$C$24)*SQRT(2*$H136*(1-$H136)/($K136*4/Assumptions!$C$10))/$H136)</f>
        <v/>
      </c>
      <c r="O136" s="23" t="str">
        <f aca="false">IF(OR($B136="",$C136=""),"",IF(AND($L136&lt;=Assumptions!$C$16,$B136&gt;=Assumptions!$C$17),"Tier 1",IF(AND($L136&lt;=Assumptions!$C$18,$B136&gt;=Assumptions!$C$19),"Tier 2","Tier 3")))</f>
        <v/>
      </c>
      <c r="P136" s="24" t="str">
        <f aca="false">IF(OR($B136="",$C136=""),"",IF($O136="Tier 1","Pursue — offer trial; plan 2-week tests",IF($O136="Tier 2","Qualify — trial only on top-traffic pages, bold tests (≥10% lift)","Don't trial A/B — nurture or sell non-testing services")))</f>
        <v/>
      </c>
    </row>
    <row r="137" customFormat="false" ht="15" hidden="false" customHeight="false" outlineLevel="0" collapsed="false">
      <c r="A137" s="13"/>
      <c r="B137" s="14"/>
      <c r="C137" s="15"/>
      <c r="D137" s="14"/>
      <c r="E137" s="13"/>
      <c r="F137" s="16" t="str">
        <f aca="false">IF(OR($B137="",$C137=""),"",IF($D137="",Assumptions!$C$13,$D137))</f>
        <v/>
      </c>
      <c r="G137" s="17" t="str">
        <f aca="false">IF(OR($B137="",$C137=""),"",$B137*1000000/12/$C137)</f>
        <v/>
      </c>
      <c r="H137" s="18" t="str">
        <f aca="false">IF(OR($B137="",$C137=""),"",$G137/$F137)</f>
        <v/>
      </c>
      <c r="I137" s="19" t="str">
        <f aca="false">IF(OR($B137="",$C137=""),"",$C137*$H137)</f>
        <v/>
      </c>
      <c r="J137" s="19" t="str">
        <f aca="false">IF(OR($B137="",$C137=""),"",Assumptions!$C$24*($H137*(1-$H137)+$H137*(1+Assumptions!$C$9)*(1-$H137*(1+Assumptions!$C$9)))/($H137*Assumptions!$C$9)^2)</f>
        <v/>
      </c>
      <c r="K137" s="19" t="str">
        <f aca="false">IF(OR($B137="",$C137=""),"",$C137/Assumptions!$C$14*Assumptions!$C$11)</f>
        <v/>
      </c>
      <c r="L137" s="20" t="str">
        <f aca="false">IF(OR($B137="",$C137=""),"",$J137*Assumptions!$C$10/$K137)</f>
        <v/>
      </c>
      <c r="M137" s="21" t="str">
        <f aca="false">IF(OR($B137="",$C137=""),"",MIN(Assumptions!$C$20,52/MAX($L137,Assumptions!$C$12)))</f>
        <v/>
      </c>
      <c r="N137" s="22" t="str">
        <f aca="false">IF(OR($B137="",$C137=""),"",SQRT(Assumptions!$C$24)*SQRT(2*$H137*(1-$H137)/($K137*4/Assumptions!$C$10))/$H137)</f>
        <v/>
      </c>
      <c r="O137" s="23" t="str">
        <f aca="false">IF(OR($B137="",$C137=""),"",IF(AND($L137&lt;=Assumptions!$C$16,$B137&gt;=Assumptions!$C$17),"Tier 1",IF(AND($L137&lt;=Assumptions!$C$18,$B137&gt;=Assumptions!$C$19),"Tier 2","Tier 3")))</f>
        <v/>
      </c>
      <c r="P137" s="24" t="str">
        <f aca="false">IF(OR($B137="",$C137=""),"",IF($O137="Tier 1","Pursue — offer trial; plan 2-week tests",IF($O137="Tier 2","Qualify — trial only on top-traffic pages, bold tests (≥10% lift)","Don't trial A/B — nurture or sell non-testing services")))</f>
        <v/>
      </c>
    </row>
    <row r="138" customFormat="false" ht="15" hidden="false" customHeight="false" outlineLevel="0" collapsed="false">
      <c r="A138" s="13"/>
      <c r="B138" s="14"/>
      <c r="C138" s="15"/>
      <c r="D138" s="14"/>
      <c r="E138" s="13"/>
      <c r="F138" s="16" t="str">
        <f aca="false">IF(OR($B138="",$C138=""),"",IF($D138="",Assumptions!$C$13,$D138))</f>
        <v/>
      </c>
      <c r="G138" s="17" t="str">
        <f aca="false">IF(OR($B138="",$C138=""),"",$B138*1000000/12/$C138)</f>
        <v/>
      </c>
      <c r="H138" s="18" t="str">
        <f aca="false">IF(OR($B138="",$C138=""),"",$G138/$F138)</f>
        <v/>
      </c>
      <c r="I138" s="19" t="str">
        <f aca="false">IF(OR($B138="",$C138=""),"",$C138*$H138)</f>
        <v/>
      </c>
      <c r="J138" s="19" t="str">
        <f aca="false">IF(OR($B138="",$C138=""),"",Assumptions!$C$24*($H138*(1-$H138)+$H138*(1+Assumptions!$C$9)*(1-$H138*(1+Assumptions!$C$9)))/($H138*Assumptions!$C$9)^2)</f>
        <v/>
      </c>
      <c r="K138" s="19" t="str">
        <f aca="false">IF(OR($B138="",$C138=""),"",$C138/Assumptions!$C$14*Assumptions!$C$11)</f>
        <v/>
      </c>
      <c r="L138" s="20" t="str">
        <f aca="false">IF(OR($B138="",$C138=""),"",$J138*Assumptions!$C$10/$K138)</f>
        <v/>
      </c>
      <c r="M138" s="21" t="str">
        <f aca="false">IF(OR($B138="",$C138=""),"",MIN(Assumptions!$C$20,52/MAX($L138,Assumptions!$C$12)))</f>
        <v/>
      </c>
      <c r="N138" s="22" t="str">
        <f aca="false">IF(OR($B138="",$C138=""),"",SQRT(Assumptions!$C$24)*SQRT(2*$H138*(1-$H138)/($K138*4/Assumptions!$C$10))/$H138)</f>
        <v/>
      </c>
      <c r="O138" s="23" t="str">
        <f aca="false">IF(OR($B138="",$C138=""),"",IF(AND($L138&lt;=Assumptions!$C$16,$B138&gt;=Assumptions!$C$17),"Tier 1",IF(AND($L138&lt;=Assumptions!$C$18,$B138&gt;=Assumptions!$C$19),"Tier 2","Tier 3")))</f>
        <v/>
      </c>
      <c r="P138" s="24" t="str">
        <f aca="false">IF(OR($B138="",$C138=""),"",IF($O138="Tier 1","Pursue — offer trial; plan 2-week tests",IF($O138="Tier 2","Qualify — trial only on top-traffic pages, bold tests (≥10% lift)","Don't trial A/B — nurture or sell non-testing services")))</f>
        <v/>
      </c>
    </row>
    <row r="139" customFormat="false" ht="15" hidden="false" customHeight="false" outlineLevel="0" collapsed="false">
      <c r="A139" s="13"/>
      <c r="B139" s="14"/>
      <c r="C139" s="15"/>
      <c r="D139" s="14"/>
      <c r="E139" s="13"/>
      <c r="F139" s="16" t="str">
        <f aca="false">IF(OR($B139="",$C139=""),"",IF($D139="",Assumptions!$C$13,$D139))</f>
        <v/>
      </c>
      <c r="G139" s="17" t="str">
        <f aca="false">IF(OR($B139="",$C139=""),"",$B139*1000000/12/$C139)</f>
        <v/>
      </c>
      <c r="H139" s="18" t="str">
        <f aca="false">IF(OR($B139="",$C139=""),"",$G139/$F139)</f>
        <v/>
      </c>
      <c r="I139" s="19" t="str">
        <f aca="false">IF(OR($B139="",$C139=""),"",$C139*$H139)</f>
        <v/>
      </c>
      <c r="J139" s="19" t="str">
        <f aca="false">IF(OR($B139="",$C139=""),"",Assumptions!$C$24*($H139*(1-$H139)+$H139*(1+Assumptions!$C$9)*(1-$H139*(1+Assumptions!$C$9)))/($H139*Assumptions!$C$9)^2)</f>
        <v/>
      </c>
      <c r="K139" s="19" t="str">
        <f aca="false">IF(OR($B139="",$C139=""),"",$C139/Assumptions!$C$14*Assumptions!$C$11)</f>
        <v/>
      </c>
      <c r="L139" s="20" t="str">
        <f aca="false">IF(OR($B139="",$C139=""),"",$J139*Assumptions!$C$10/$K139)</f>
        <v/>
      </c>
      <c r="M139" s="21" t="str">
        <f aca="false">IF(OR($B139="",$C139=""),"",MIN(Assumptions!$C$20,52/MAX($L139,Assumptions!$C$12)))</f>
        <v/>
      </c>
      <c r="N139" s="22" t="str">
        <f aca="false">IF(OR($B139="",$C139=""),"",SQRT(Assumptions!$C$24)*SQRT(2*$H139*(1-$H139)/($K139*4/Assumptions!$C$10))/$H139)</f>
        <v/>
      </c>
      <c r="O139" s="23" t="str">
        <f aca="false">IF(OR($B139="",$C139=""),"",IF(AND($L139&lt;=Assumptions!$C$16,$B139&gt;=Assumptions!$C$17),"Tier 1",IF(AND($L139&lt;=Assumptions!$C$18,$B139&gt;=Assumptions!$C$19),"Tier 2","Tier 3")))</f>
        <v/>
      </c>
      <c r="P139" s="24" t="str">
        <f aca="false">IF(OR($B139="",$C139=""),"",IF($O139="Tier 1","Pursue — offer trial; plan 2-week tests",IF($O139="Tier 2","Qualify — trial only on top-traffic pages, bold tests (≥10% lift)","Don't trial A/B — nurture or sell non-testing services")))</f>
        <v/>
      </c>
    </row>
    <row r="140" customFormat="false" ht="15" hidden="false" customHeight="false" outlineLevel="0" collapsed="false">
      <c r="A140" s="13"/>
      <c r="B140" s="14"/>
      <c r="C140" s="15"/>
      <c r="D140" s="14"/>
      <c r="E140" s="13"/>
      <c r="F140" s="16" t="str">
        <f aca="false">IF(OR($B140="",$C140=""),"",IF($D140="",Assumptions!$C$13,$D140))</f>
        <v/>
      </c>
      <c r="G140" s="17" t="str">
        <f aca="false">IF(OR($B140="",$C140=""),"",$B140*1000000/12/$C140)</f>
        <v/>
      </c>
      <c r="H140" s="18" t="str">
        <f aca="false">IF(OR($B140="",$C140=""),"",$G140/$F140)</f>
        <v/>
      </c>
      <c r="I140" s="19" t="str">
        <f aca="false">IF(OR($B140="",$C140=""),"",$C140*$H140)</f>
        <v/>
      </c>
      <c r="J140" s="19" t="str">
        <f aca="false">IF(OR($B140="",$C140=""),"",Assumptions!$C$24*($H140*(1-$H140)+$H140*(1+Assumptions!$C$9)*(1-$H140*(1+Assumptions!$C$9)))/($H140*Assumptions!$C$9)^2)</f>
        <v/>
      </c>
      <c r="K140" s="19" t="str">
        <f aca="false">IF(OR($B140="",$C140=""),"",$C140/Assumptions!$C$14*Assumptions!$C$11)</f>
        <v/>
      </c>
      <c r="L140" s="20" t="str">
        <f aca="false">IF(OR($B140="",$C140=""),"",$J140*Assumptions!$C$10/$K140)</f>
        <v/>
      </c>
      <c r="M140" s="21" t="str">
        <f aca="false">IF(OR($B140="",$C140=""),"",MIN(Assumptions!$C$20,52/MAX($L140,Assumptions!$C$12)))</f>
        <v/>
      </c>
      <c r="N140" s="22" t="str">
        <f aca="false">IF(OR($B140="",$C140=""),"",SQRT(Assumptions!$C$24)*SQRT(2*$H140*(1-$H140)/($K140*4/Assumptions!$C$10))/$H140)</f>
        <v/>
      </c>
      <c r="O140" s="23" t="str">
        <f aca="false">IF(OR($B140="",$C140=""),"",IF(AND($L140&lt;=Assumptions!$C$16,$B140&gt;=Assumptions!$C$17),"Tier 1",IF(AND($L140&lt;=Assumptions!$C$18,$B140&gt;=Assumptions!$C$19),"Tier 2","Tier 3")))</f>
        <v/>
      </c>
      <c r="P140" s="24" t="str">
        <f aca="false">IF(OR($B140="",$C140=""),"",IF($O140="Tier 1","Pursue — offer trial; plan 2-week tests",IF($O140="Tier 2","Qualify — trial only on top-traffic pages, bold tests (≥10% lift)","Don't trial A/B — nurture or sell non-testing services")))</f>
        <v/>
      </c>
    </row>
    <row r="141" customFormat="false" ht="15" hidden="false" customHeight="false" outlineLevel="0" collapsed="false">
      <c r="A141" s="13"/>
      <c r="B141" s="14"/>
      <c r="C141" s="15"/>
      <c r="D141" s="14"/>
      <c r="E141" s="13"/>
      <c r="F141" s="16" t="str">
        <f aca="false">IF(OR($B141="",$C141=""),"",IF($D141="",Assumptions!$C$13,$D141))</f>
        <v/>
      </c>
      <c r="G141" s="17" t="str">
        <f aca="false">IF(OR($B141="",$C141=""),"",$B141*1000000/12/$C141)</f>
        <v/>
      </c>
      <c r="H141" s="18" t="str">
        <f aca="false">IF(OR($B141="",$C141=""),"",$G141/$F141)</f>
        <v/>
      </c>
      <c r="I141" s="19" t="str">
        <f aca="false">IF(OR($B141="",$C141=""),"",$C141*$H141)</f>
        <v/>
      </c>
      <c r="J141" s="19" t="str">
        <f aca="false">IF(OR($B141="",$C141=""),"",Assumptions!$C$24*($H141*(1-$H141)+$H141*(1+Assumptions!$C$9)*(1-$H141*(1+Assumptions!$C$9)))/($H141*Assumptions!$C$9)^2)</f>
        <v/>
      </c>
      <c r="K141" s="19" t="str">
        <f aca="false">IF(OR($B141="",$C141=""),"",$C141/Assumptions!$C$14*Assumptions!$C$11)</f>
        <v/>
      </c>
      <c r="L141" s="20" t="str">
        <f aca="false">IF(OR($B141="",$C141=""),"",$J141*Assumptions!$C$10/$K141)</f>
        <v/>
      </c>
      <c r="M141" s="21" t="str">
        <f aca="false">IF(OR($B141="",$C141=""),"",MIN(Assumptions!$C$20,52/MAX($L141,Assumptions!$C$12)))</f>
        <v/>
      </c>
      <c r="N141" s="22" t="str">
        <f aca="false">IF(OR($B141="",$C141=""),"",SQRT(Assumptions!$C$24)*SQRT(2*$H141*(1-$H141)/($K141*4/Assumptions!$C$10))/$H141)</f>
        <v/>
      </c>
      <c r="O141" s="23" t="str">
        <f aca="false">IF(OR($B141="",$C141=""),"",IF(AND($L141&lt;=Assumptions!$C$16,$B141&gt;=Assumptions!$C$17),"Tier 1",IF(AND($L141&lt;=Assumptions!$C$18,$B141&gt;=Assumptions!$C$19),"Tier 2","Tier 3")))</f>
        <v/>
      </c>
      <c r="P141" s="24" t="str">
        <f aca="false">IF(OR($B141="",$C141=""),"",IF($O141="Tier 1","Pursue — offer trial; plan 2-week tests",IF($O141="Tier 2","Qualify — trial only on top-traffic pages, bold tests (≥10% lift)","Don't trial A/B — nurture or sell non-testing services")))</f>
        <v/>
      </c>
    </row>
    <row r="142" customFormat="false" ht="15" hidden="false" customHeight="false" outlineLevel="0" collapsed="false">
      <c r="A142" s="13"/>
      <c r="B142" s="14"/>
      <c r="C142" s="15"/>
      <c r="D142" s="14"/>
      <c r="E142" s="13"/>
      <c r="F142" s="16" t="str">
        <f aca="false">IF(OR($B142="",$C142=""),"",IF($D142="",Assumptions!$C$13,$D142))</f>
        <v/>
      </c>
      <c r="G142" s="17" t="str">
        <f aca="false">IF(OR($B142="",$C142=""),"",$B142*1000000/12/$C142)</f>
        <v/>
      </c>
      <c r="H142" s="18" t="str">
        <f aca="false">IF(OR($B142="",$C142=""),"",$G142/$F142)</f>
        <v/>
      </c>
      <c r="I142" s="19" t="str">
        <f aca="false">IF(OR($B142="",$C142=""),"",$C142*$H142)</f>
        <v/>
      </c>
      <c r="J142" s="19" t="str">
        <f aca="false">IF(OR($B142="",$C142=""),"",Assumptions!$C$24*($H142*(1-$H142)+$H142*(1+Assumptions!$C$9)*(1-$H142*(1+Assumptions!$C$9)))/($H142*Assumptions!$C$9)^2)</f>
        <v/>
      </c>
      <c r="K142" s="19" t="str">
        <f aca="false">IF(OR($B142="",$C142=""),"",$C142/Assumptions!$C$14*Assumptions!$C$11)</f>
        <v/>
      </c>
      <c r="L142" s="20" t="str">
        <f aca="false">IF(OR($B142="",$C142=""),"",$J142*Assumptions!$C$10/$K142)</f>
        <v/>
      </c>
      <c r="M142" s="21" t="str">
        <f aca="false">IF(OR($B142="",$C142=""),"",MIN(Assumptions!$C$20,52/MAX($L142,Assumptions!$C$12)))</f>
        <v/>
      </c>
      <c r="N142" s="22" t="str">
        <f aca="false">IF(OR($B142="",$C142=""),"",SQRT(Assumptions!$C$24)*SQRT(2*$H142*(1-$H142)/($K142*4/Assumptions!$C$10))/$H142)</f>
        <v/>
      </c>
      <c r="O142" s="23" t="str">
        <f aca="false">IF(OR($B142="",$C142=""),"",IF(AND($L142&lt;=Assumptions!$C$16,$B142&gt;=Assumptions!$C$17),"Tier 1",IF(AND($L142&lt;=Assumptions!$C$18,$B142&gt;=Assumptions!$C$19),"Tier 2","Tier 3")))</f>
        <v/>
      </c>
      <c r="P142" s="24" t="str">
        <f aca="false">IF(OR($B142="",$C142=""),"",IF($O142="Tier 1","Pursue — offer trial; plan 2-week tests",IF($O142="Tier 2","Qualify — trial only on top-traffic pages, bold tests (≥10% lift)","Don't trial A/B — nurture or sell non-testing services")))</f>
        <v/>
      </c>
    </row>
    <row r="143" customFormat="false" ht="15" hidden="false" customHeight="false" outlineLevel="0" collapsed="false">
      <c r="A143" s="13"/>
      <c r="B143" s="14"/>
      <c r="C143" s="15"/>
      <c r="D143" s="14"/>
      <c r="E143" s="13"/>
      <c r="F143" s="16" t="str">
        <f aca="false">IF(OR($B143="",$C143=""),"",IF($D143="",Assumptions!$C$13,$D143))</f>
        <v/>
      </c>
      <c r="G143" s="17" t="str">
        <f aca="false">IF(OR($B143="",$C143=""),"",$B143*1000000/12/$C143)</f>
        <v/>
      </c>
      <c r="H143" s="18" t="str">
        <f aca="false">IF(OR($B143="",$C143=""),"",$G143/$F143)</f>
        <v/>
      </c>
      <c r="I143" s="19" t="str">
        <f aca="false">IF(OR($B143="",$C143=""),"",$C143*$H143)</f>
        <v/>
      </c>
      <c r="J143" s="19" t="str">
        <f aca="false">IF(OR($B143="",$C143=""),"",Assumptions!$C$24*($H143*(1-$H143)+$H143*(1+Assumptions!$C$9)*(1-$H143*(1+Assumptions!$C$9)))/($H143*Assumptions!$C$9)^2)</f>
        <v/>
      </c>
      <c r="K143" s="19" t="str">
        <f aca="false">IF(OR($B143="",$C143=""),"",$C143/Assumptions!$C$14*Assumptions!$C$11)</f>
        <v/>
      </c>
      <c r="L143" s="20" t="str">
        <f aca="false">IF(OR($B143="",$C143=""),"",$J143*Assumptions!$C$10/$K143)</f>
        <v/>
      </c>
      <c r="M143" s="21" t="str">
        <f aca="false">IF(OR($B143="",$C143=""),"",MIN(Assumptions!$C$20,52/MAX($L143,Assumptions!$C$12)))</f>
        <v/>
      </c>
      <c r="N143" s="22" t="str">
        <f aca="false">IF(OR($B143="",$C143=""),"",SQRT(Assumptions!$C$24)*SQRT(2*$H143*(1-$H143)/($K143*4/Assumptions!$C$10))/$H143)</f>
        <v/>
      </c>
      <c r="O143" s="23" t="str">
        <f aca="false">IF(OR($B143="",$C143=""),"",IF(AND($L143&lt;=Assumptions!$C$16,$B143&gt;=Assumptions!$C$17),"Tier 1",IF(AND($L143&lt;=Assumptions!$C$18,$B143&gt;=Assumptions!$C$19),"Tier 2","Tier 3")))</f>
        <v/>
      </c>
      <c r="P143" s="24" t="str">
        <f aca="false">IF(OR($B143="",$C143=""),"",IF($O143="Tier 1","Pursue — offer trial; plan 2-week tests",IF($O143="Tier 2","Qualify — trial only on top-traffic pages, bold tests (≥10% lift)","Don't trial A/B — nurture or sell non-testing services")))</f>
        <v/>
      </c>
    </row>
    <row r="144" customFormat="false" ht="15" hidden="false" customHeight="false" outlineLevel="0" collapsed="false">
      <c r="A144" s="13"/>
      <c r="B144" s="14"/>
      <c r="C144" s="15"/>
      <c r="D144" s="14"/>
      <c r="E144" s="13"/>
      <c r="F144" s="16" t="str">
        <f aca="false">IF(OR($B144="",$C144=""),"",IF($D144="",Assumptions!$C$13,$D144))</f>
        <v/>
      </c>
      <c r="G144" s="17" t="str">
        <f aca="false">IF(OR($B144="",$C144=""),"",$B144*1000000/12/$C144)</f>
        <v/>
      </c>
      <c r="H144" s="18" t="str">
        <f aca="false">IF(OR($B144="",$C144=""),"",$G144/$F144)</f>
        <v/>
      </c>
      <c r="I144" s="19" t="str">
        <f aca="false">IF(OR($B144="",$C144=""),"",$C144*$H144)</f>
        <v/>
      </c>
      <c r="J144" s="19" t="str">
        <f aca="false">IF(OR($B144="",$C144=""),"",Assumptions!$C$24*($H144*(1-$H144)+$H144*(1+Assumptions!$C$9)*(1-$H144*(1+Assumptions!$C$9)))/($H144*Assumptions!$C$9)^2)</f>
        <v/>
      </c>
      <c r="K144" s="19" t="str">
        <f aca="false">IF(OR($B144="",$C144=""),"",$C144/Assumptions!$C$14*Assumptions!$C$11)</f>
        <v/>
      </c>
      <c r="L144" s="20" t="str">
        <f aca="false">IF(OR($B144="",$C144=""),"",$J144*Assumptions!$C$10/$K144)</f>
        <v/>
      </c>
      <c r="M144" s="21" t="str">
        <f aca="false">IF(OR($B144="",$C144=""),"",MIN(Assumptions!$C$20,52/MAX($L144,Assumptions!$C$12)))</f>
        <v/>
      </c>
      <c r="N144" s="22" t="str">
        <f aca="false">IF(OR($B144="",$C144=""),"",SQRT(Assumptions!$C$24)*SQRT(2*$H144*(1-$H144)/($K144*4/Assumptions!$C$10))/$H144)</f>
        <v/>
      </c>
      <c r="O144" s="23" t="str">
        <f aca="false">IF(OR($B144="",$C144=""),"",IF(AND($L144&lt;=Assumptions!$C$16,$B144&gt;=Assumptions!$C$17),"Tier 1",IF(AND($L144&lt;=Assumptions!$C$18,$B144&gt;=Assumptions!$C$19),"Tier 2","Tier 3")))</f>
        <v/>
      </c>
      <c r="P144" s="24" t="str">
        <f aca="false">IF(OR($B144="",$C144=""),"",IF($O144="Tier 1","Pursue — offer trial; plan 2-week tests",IF($O144="Tier 2","Qualify — trial only on top-traffic pages, bold tests (≥10% lift)","Don't trial A/B — nurture or sell non-testing services")))</f>
        <v/>
      </c>
    </row>
    <row r="145" customFormat="false" ht="15" hidden="false" customHeight="false" outlineLevel="0" collapsed="false">
      <c r="A145" s="13"/>
      <c r="B145" s="14"/>
      <c r="C145" s="15"/>
      <c r="D145" s="14"/>
      <c r="E145" s="13"/>
      <c r="F145" s="16" t="str">
        <f aca="false">IF(OR($B145="",$C145=""),"",IF($D145="",Assumptions!$C$13,$D145))</f>
        <v/>
      </c>
      <c r="G145" s="17" t="str">
        <f aca="false">IF(OR($B145="",$C145=""),"",$B145*1000000/12/$C145)</f>
        <v/>
      </c>
      <c r="H145" s="18" t="str">
        <f aca="false">IF(OR($B145="",$C145=""),"",$G145/$F145)</f>
        <v/>
      </c>
      <c r="I145" s="19" t="str">
        <f aca="false">IF(OR($B145="",$C145=""),"",$C145*$H145)</f>
        <v/>
      </c>
      <c r="J145" s="19" t="str">
        <f aca="false">IF(OR($B145="",$C145=""),"",Assumptions!$C$24*($H145*(1-$H145)+$H145*(1+Assumptions!$C$9)*(1-$H145*(1+Assumptions!$C$9)))/($H145*Assumptions!$C$9)^2)</f>
        <v/>
      </c>
      <c r="K145" s="19" t="str">
        <f aca="false">IF(OR($B145="",$C145=""),"",$C145/Assumptions!$C$14*Assumptions!$C$11)</f>
        <v/>
      </c>
      <c r="L145" s="20" t="str">
        <f aca="false">IF(OR($B145="",$C145=""),"",$J145*Assumptions!$C$10/$K145)</f>
        <v/>
      </c>
      <c r="M145" s="21" t="str">
        <f aca="false">IF(OR($B145="",$C145=""),"",MIN(Assumptions!$C$20,52/MAX($L145,Assumptions!$C$12)))</f>
        <v/>
      </c>
      <c r="N145" s="22" t="str">
        <f aca="false">IF(OR($B145="",$C145=""),"",SQRT(Assumptions!$C$24)*SQRT(2*$H145*(1-$H145)/($K145*4/Assumptions!$C$10))/$H145)</f>
        <v/>
      </c>
      <c r="O145" s="23" t="str">
        <f aca="false">IF(OR($B145="",$C145=""),"",IF(AND($L145&lt;=Assumptions!$C$16,$B145&gt;=Assumptions!$C$17),"Tier 1",IF(AND($L145&lt;=Assumptions!$C$18,$B145&gt;=Assumptions!$C$19),"Tier 2","Tier 3")))</f>
        <v/>
      </c>
      <c r="P145" s="24" t="str">
        <f aca="false">IF(OR($B145="",$C145=""),"",IF($O145="Tier 1","Pursue — offer trial; plan 2-week tests",IF($O145="Tier 2","Qualify — trial only on top-traffic pages, bold tests (≥10% lift)","Don't trial A/B — nurture or sell non-testing services")))</f>
        <v/>
      </c>
    </row>
    <row r="146" customFormat="false" ht="15" hidden="false" customHeight="false" outlineLevel="0" collapsed="false">
      <c r="A146" s="13"/>
      <c r="B146" s="14"/>
      <c r="C146" s="15"/>
      <c r="D146" s="14"/>
      <c r="E146" s="13"/>
      <c r="F146" s="16" t="str">
        <f aca="false">IF(OR($B146="",$C146=""),"",IF($D146="",Assumptions!$C$13,$D146))</f>
        <v/>
      </c>
      <c r="G146" s="17" t="str">
        <f aca="false">IF(OR($B146="",$C146=""),"",$B146*1000000/12/$C146)</f>
        <v/>
      </c>
      <c r="H146" s="18" t="str">
        <f aca="false">IF(OR($B146="",$C146=""),"",$G146/$F146)</f>
        <v/>
      </c>
      <c r="I146" s="19" t="str">
        <f aca="false">IF(OR($B146="",$C146=""),"",$C146*$H146)</f>
        <v/>
      </c>
      <c r="J146" s="19" t="str">
        <f aca="false">IF(OR($B146="",$C146=""),"",Assumptions!$C$24*($H146*(1-$H146)+$H146*(1+Assumptions!$C$9)*(1-$H146*(1+Assumptions!$C$9)))/($H146*Assumptions!$C$9)^2)</f>
        <v/>
      </c>
      <c r="K146" s="19" t="str">
        <f aca="false">IF(OR($B146="",$C146=""),"",$C146/Assumptions!$C$14*Assumptions!$C$11)</f>
        <v/>
      </c>
      <c r="L146" s="20" t="str">
        <f aca="false">IF(OR($B146="",$C146=""),"",$J146*Assumptions!$C$10/$K146)</f>
        <v/>
      </c>
      <c r="M146" s="21" t="str">
        <f aca="false">IF(OR($B146="",$C146=""),"",MIN(Assumptions!$C$20,52/MAX($L146,Assumptions!$C$12)))</f>
        <v/>
      </c>
      <c r="N146" s="22" t="str">
        <f aca="false">IF(OR($B146="",$C146=""),"",SQRT(Assumptions!$C$24)*SQRT(2*$H146*(1-$H146)/($K146*4/Assumptions!$C$10))/$H146)</f>
        <v/>
      </c>
      <c r="O146" s="23" t="str">
        <f aca="false">IF(OR($B146="",$C146=""),"",IF(AND($L146&lt;=Assumptions!$C$16,$B146&gt;=Assumptions!$C$17),"Tier 1",IF(AND($L146&lt;=Assumptions!$C$18,$B146&gt;=Assumptions!$C$19),"Tier 2","Tier 3")))</f>
        <v/>
      </c>
      <c r="P146" s="24" t="str">
        <f aca="false">IF(OR($B146="",$C146=""),"",IF($O146="Tier 1","Pursue — offer trial; plan 2-week tests",IF($O146="Tier 2","Qualify — trial only on top-traffic pages, bold tests (≥10% lift)","Don't trial A/B — nurture or sell non-testing services")))</f>
        <v/>
      </c>
    </row>
    <row r="147" customFormat="false" ht="15" hidden="false" customHeight="false" outlineLevel="0" collapsed="false">
      <c r="A147" s="13"/>
      <c r="B147" s="14"/>
      <c r="C147" s="15"/>
      <c r="D147" s="14"/>
      <c r="E147" s="13"/>
      <c r="F147" s="16" t="str">
        <f aca="false">IF(OR($B147="",$C147=""),"",IF($D147="",Assumptions!$C$13,$D147))</f>
        <v/>
      </c>
      <c r="G147" s="17" t="str">
        <f aca="false">IF(OR($B147="",$C147=""),"",$B147*1000000/12/$C147)</f>
        <v/>
      </c>
      <c r="H147" s="18" t="str">
        <f aca="false">IF(OR($B147="",$C147=""),"",$G147/$F147)</f>
        <v/>
      </c>
      <c r="I147" s="19" t="str">
        <f aca="false">IF(OR($B147="",$C147=""),"",$C147*$H147)</f>
        <v/>
      </c>
      <c r="J147" s="19" t="str">
        <f aca="false">IF(OR($B147="",$C147=""),"",Assumptions!$C$24*($H147*(1-$H147)+$H147*(1+Assumptions!$C$9)*(1-$H147*(1+Assumptions!$C$9)))/($H147*Assumptions!$C$9)^2)</f>
        <v/>
      </c>
      <c r="K147" s="19" t="str">
        <f aca="false">IF(OR($B147="",$C147=""),"",$C147/Assumptions!$C$14*Assumptions!$C$11)</f>
        <v/>
      </c>
      <c r="L147" s="20" t="str">
        <f aca="false">IF(OR($B147="",$C147=""),"",$J147*Assumptions!$C$10/$K147)</f>
        <v/>
      </c>
      <c r="M147" s="21" t="str">
        <f aca="false">IF(OR($B147="",$C147=""),"",MIN(Assumptions!$C$20,52/MAX($L147,Assumptions!$C$12)))</f>
        <v/>
      </c>
      <c r="N147" s="22" t="str">
        <f aca="false">IF(OR($B147="",$C147=""),"",SQRT(Assumptions!$C$24)*SQRT(2*$H147*(1-$H147)/($K147*4/Assumptions!$C$10))/$H147)</f>
        <v/>
      </c>
      <c r="O147" s="23" t="str">
        <f aca="false">IF(OR($B147="",$C147=""),"",IF(AND($L147&lt;=Assumptions!$C$16,$B147&gt;=Assumptions!$C$17),"Tier 1",IF(AND($L147&lt;=Assumptions!$C$18,$B147&gt;=Assumptions!$C$19),"Tier 2","Tier 3")))</f>
        <v/>
      </c>
      <c r="P147" s="24" t="str">
        <f aca="false">IF(OR($B147="",$C147=""),"",IF($O147="Tier 1","Pursue — offer trial; plan 2-week tests",IF($O147="Tier 2","Qualify — trial only on top-traffic pages, bold tests (≥10% lift)","Don't trial A/B — nurture or sell non-testing services")))</f>
        <v/>
      </c>
    </row>
    <row r="148" customFormat="false" ht="15" hidden="false" customHeight="false" outlineLevel="0" collapsed="false">
      <c r="A148" s="13"/>
      <c r="B148" s="14"/>
      <c r="C148" s="15"/>
      <c r="D148" s="14"/>
      <c r="E148" s="13"/>
      <c r="F148" s="16" t="str">
        <f aca="false">IF(OR($B148="",$C148=""),"",IF($D148="",Assumptions!$C$13,$D148))</f>
        <v/>
      </c>
      <c r="G148" s="17" t="str">
        <f aca="false">IF(OR($B148="",$C148=""),"",$B148*1000000/12/$C148)</f>
        <v/>
      </c>
      <c r="H148" s="18" t="str">
        <f aca="false">IF(OR($B148="",$C148=""),"",$G148/$F148)</f>
        <v/>
      </c>
      <c r="I148" s="19" t="str">
        <f aca="false">IF(OR($B148="",$C148=""),"",$C148*$H148)</f>
        <v/>
      </c>
      <c r="J148" s="19" t="str">
        <f aca="false">IF(OR($B148="",$C148=""),"",Assumptions!$C$24*($H148*(1-$H148)+$H148*(1+Assumptions!$C$9)*(1-$H148*(1+Assumptions!$C$9)))/($H148*Assumptions!$C$9)^2)</f>
        <v/>
      </c>
      <c r="K148" s="19" t="str">
        <f aca="false">IF(OR($B148="",$C148=""),"",$C148/Assumptions!$C$14*Assumptions!$C$11)</f>
        <v/>
      </c>
      <c r="L148" s="20" t="str">
        <f aca="false">IF(OR($B148="",$C148=""),"",$J148*Assumptions!$C$10/$K148)</f>
        <v/>
      </c>
      <c r="M148" s="21" t="str">
        <f aca="false">IF(OR($B148="",$C148=""),"",MIN(Assumptions!$C$20,52/MAX($L148,Assumptions!$C$12)))</f>
        <v/>
      </c>
      <c r="N148" s="22" t="str">
        <f aca="false">IF(OR($B148="",$C148=""),"",SQRT(Assumptions!$C$24)*SQRT(2*$H148*(1-$H148)/($K148*4/Assumptions!$C$10))/$H148)</f>
        <v/>
      </c>
      <c r="O148" s="23" t="str">
        <f aca="false">IF(OR($B148="",$C148=""),"",IF(AND($L148&lt;=Assumptions!$C$16,$B148&gt;=Assumptions!$C$17),"Tier 1",IF(AND($L148&lt;=Assumptions!$C$18,$B148&gt;=Assumptions!$C$19),"Tier 2","Tier 3")))</f>
        <v/>
      </c>
      <c r="P148" s="24" t="str">
        <f aca="false">IF(OR($B148="",$C148=""),"",IF($O148="Tier 1","Pursue — offer trial; plan 2-week tests",IF($O148="Tier 2","Qualify — trial only on top-traffic pages, bold tests (≥10% lift)","Don't trial A/B — nurture or sell non-testing services")))</f>
        <v/>
      </c>
    </row>
    <row r="149" customFormat="false" ht="15" hidden="false" customHeight="false" outlineLevel="0" collapsed="false">
      <c r="A149" s="13"/>
      <c r="B149" s="14"/>
      <c r="C149" s="15"/>
      <c r="D149" s="14"/>
      <c r="E149" s="13"/>
      <c r="F149" s="16" t="str">
        <f aca="false">IF(OR($B149="",$C149=""),"",IF($D149="",Assumptions!$C$13,$D149))</f>
        <v/>
      </c>
      <c r="G149" s="17" t="str">
        <f aca="false">IF(OR($B149="",$C149=""),"",$B149*1000000/12/$C149)</f>
        <v/>
      </c>
      <c r="H149" s="18" t="str">
        <f aca="false">IF(OR($B149="",$C149=""),"",$G149/$F149)</f>
        <v/>
      </c>
      <c r="I149" s="19" t="str">
        <f aca="false">IF(OR($B149="",$C149=""),"",$C149*$H149)</f>
        <v/>
      </c>
      <c r="J149" s="19" t="str">
        <f aca="false">IF(OR($B149="",$C149=""),"",Assumptions!$C$24*($H149*(1-$H149)+$H149*(1+Assumptions!$C$9)*(1-$H149*(1+Assumptions!$C$9)))/($H149*Assumptions!$C$9)^2)</f>
        <v/>
      </c>
      <c r="K149" s="19" t="str">
        <f aca="false">IF(OR($B149="",$C149=""),"",$C149/Assumptions!$C$14*Assumptions!$C$11)</f>
        <v/>
      </c>
      <c r="L149" s="20" t="str">
        <f aca="false">IF(OR($B149="",$C149=""),"",$J149*Assumptions!$C$10/$K149)</f>
        <v/>
      </c>
      <c r="M149" s="21" t="str">
        <f aca="false">IF(OR($B149="",$C149=""),"",MIN(Assumptions!$C$20,52/MAX($L149,Assumptions!$C$12)))</f>
        <v/>
      </c>
      <c r="N149" s="22" t="str">
        <f aca="false">IF(OR($B149="",$C149=""),"",SQRT(Assumptions!$C$24)*SQRT(2*$H149*(1-$H149)/($K149*4/Assumptions!$C$10))/$H149)</f>
        <v/>
      </c>
      <c r="O149" s="23" t="str">
        <f aca="false">IF(OR($B149="",$C149=""),"",IF(AND($L149&lt;=Assumptions!$C$16,$B149&gt;=Assumptions!$C$17),"Tier 1",IF(AND($L149&lt;=Assumptions!$C$18,$B149&gt;=Assumptions!$C$19),"Tier 2","Tier 3")))</f>
        <v/>
      </c>
      <c r="P149" s="24" t="str">
        <f aca="false">IF(OR($B149="",$C149=""),"",IF($O149="Tier 1","Pursue — offer trial; plan 2-week tests",IF($O149="Tier 2","Qualify — trial only on top-traffic pages, bold tests (≥10% lift)","Don't trial A/B — nurture or sell non-testing services")))</f>
        <v/>
      </c>
    </row>
    <row r="150" customFormat="false" ht="15" hidden="false" customHeight="false" outlineLevel="0" collapsed="false">
      <c r="A150" s="13"/>
      <c r="B150" s="14"/>
      <c r="C150" s="15"/>
      <c r="D150" s="14"/>
      <c r="E150" s="13"/>
      <c r="F150" s="16" t="str">
        <f aca="false">IF(OR($B150="",$C150=""),"",IF($D150="",Assumptions!$C$13,$D150))</f>
        <v/>
      </c>
      <c r="G150" s="17" t="str">
        <f aca="false">IF(OR($B150="",$C150=""),"",$B150*1000000/12/$C150)</f>
        <v/>
      </c>
      <c r="H150" s="18" t="str">
        <f aca="false">IF(OR($B150="",$C150=""),"",$G150/$F150)</f>
        <v/>
      </c>
      <c r="I150" s="19" t="str">
        <f aca="false">IF(OR($B150="",$C150=""),"",$C150*$H150)</f>
        <v/>
      </c>
      <c r="J150" s="19" t="str">
        <f aca="false">IF(OR($B150="",$C150=""),"",Assumptions!$C$24*($H150*(1-$H150)+$H150*(1+Assumptions!$C$9)*(1-$H150*(1+Assumptions!$C$9)))/($H150*Assumptions!$C$9)^2)</f>
        <v/>
      </c>
      <c r="K150" s="19" t="str">
        <f aca="false">IF(OR($B150="",$C150=""),"",$C150/Assumptions!$C$14*Assumptions!$C$11)</f>
        <v/>
      </c>
      <c r="L150" s="20" t="str">
        <f aca="false">IF(OR($B150="",$C150=""),"",$J150*Assumptions!$C$10/$K150)</f>
        <v/>
      </c>
      <c r="M150" s="21" t="str">
        <f aca="false">IF(OR($B150="",$C150=""),"",MIN(Assumptions!$C$20,52/MAX($L150,Assumptions!$C$12)))</f>
        <v/>
      </c>
      <c r="N150" s="22" t="str">
        <f aca="false">IF(OR($B150="",$C150=""),"",SQRT(Assumptions!$C$24)*SQRT(2*$H150*(1-$H150)/($K150*4/Assumptions!$C$10))/$H150)</f>
        <v/>
      </c>
      <c r="O150" s="23" t="str">
        <f aca="false">IF(OR($B150="",$C150=""),"",IF(AND($L150&lt;=Assumptions!$C$16,$B150&gt;=Assumptions!$C$17),"Tier 1",IF(AND($L150&lt;=Assumptions!$C$18,$B150&gt;=Assumptions!$C$19),"Tier 2","Tier 3")))</f>
        <v/>
      </c>
      <c r="P150" s="24" t="str">
        <f aca="false">IF(OR($B150="",$C150=""),"",IF($O150="Tier 1","Pursue — offer trial; plan 2-week tests",IF($O150="Tier 2","Qualify — trial only on top-traffic pages, bold tests (≥10% lift)","Don't trial A/B — nurture or sell non-testing services")))</f>
        <v/>
      </c>
    </row>
    <row r="151" customFormat="false" ht="15" hidden="false" customHeight="false" outlineLevel="0" collapsed="false">
      <c r="A151" s="13"/>
      <c r="B151" s="14"/>
      <c r="C151" s="15"/>
      <c r="D151" s="14"/>
      <c r="E151" s="13"/>
      <c r="F151" s="16" t="str">
        <f aca="false">IF(OR($B151="",$C151=""),"",IF($D151="",Assumptions!$C$13,$D151))</f>
        <v/>
      </c>
      <c r="G151" s="17" t="str">
        <f aca="false">IF(OR($B151="",$C151=""),"",$B151*1000000/12/$C151)</f>
        <v/>
      </c>
      <c r="H151" s="18" t="str">
        <f aca="false">IF(OR($B151="",$C151=""),"",$G151/$F151)</f>
        <v/>
      </c>
      <c r="I151" s="19" t="str">
        <f aca="false">IF(OR($B151="",$C151=""),"",$C151*$H151)</f>
        <v/>
      </c>
      <c r="J151" s="19" t="str">
        <f aca="false">IF(OR($B151="",$C151=""),"",Assumptions!$C$24*($H151*(1-$H151)+$H151*(1+Assumptions!$C$9)*(1-$H151*(1+Assumptions!$C$9)))/($H151*Assumptions!$C$9)^2)</f>
        <v/>
      </c>
      <c r="K151" s="19" t="str">
        <f aca="false">IF(OR($B151="",$C151=""),"",$C151/Assumptions!$C$14*Assumptions!$C$11)</f>
        <v/>
      </c>
      <c r="L151" s="20" t="str">
        <f aca="false">IF(OR($B151="",$C151=""),"",$J151*Assumptions!$C$10/$K151)</f>
        <v/>
      </c>
      <c r="M151" s="21" t="str">
        <f aca="false">IF(OR($B151="",$C151=""),"",MIN(Assumptions!$C$20,52/MAX($L151,Assumptions!$C$12)))</f>
        <v/>
      </c>
      <c r="N151" s="22" t="str">
        <f aca="false">IF(OR($B151="",$C151=""),"",SQRT(Assumptions!$C$24)*SQRT(2*$H151*(1-$H151)/($K151*4/Assumptions!$C$10))/$H151)</f>
        <v/>
      </c>
      <c r="O151" s="23" t="str">
        <f aca="false">IF(OR($B151="",$C151=""),"",IF(AND($L151&lt;=Assumptions!$C$16,$B151&gt;=Assumptions!$C$17),"Tier 1",IF(AND($L151&lt;=Assumptions!$C$18,$B151&gt;=Assumptions!$C$19),"Tier 2","Tier 3")))</f>
        <v/>
      </c>
      <c r="P151" s="24" t="str">
        <f aca="false">IF(OR($B151="",$C151=""),"",IF($O151="Tier 1","Pursue — offer trial; plan 2-week tests",IF($O151="Tier 2","Qualify — trial only on top-traffic pages, bold tests (≥10% lift)","Don't trial A/B — nurture or sell non-testing services")))</f>
        <v/>
      </c>
    </row>
    <row r="152" customFormat="false" ht="15" hidden="false" customHeight="false" outlineLevel="0" collapsed="false">
      <c r="A152" s="13"/>
      <c r="B152" s="14"/>
      <c r="C152" s="15"/>
      <c r="D152" s="14"/>
      <c r="E152" s="13"/>
      <c r="F152" s="16" t="str">
        <f aca="false">IF(OR($B152="",$C152=""),"",IF($D152="",Assumptions!$C$13,$D152))</f>
        <v/>
      </c>
      <c r="G152" s="17" t="str">
        <f aca="false">IF(OR($B152="",$C152=""),"",$B152*1000000/12/$C152)</f>
        <v/>
      </c>
      <c r="H152" s="18" t="str">
        <f aca="false">IF(OR($B152="",$C152=""),"",$G152/$F152)</f>
        <v/>
      </c>
      <c r="I152" s="19" t="str">
        <f aca="false">IF(OR($B152="",$C152=""),"",$C152*$H152)</f>
        <v/>
      </c>
      <c r="J152" s="19" t="str">
        <f aca="false">IF(OR($B152="",$C152=""),"",Assumptions!$C$24*($H152*(1-$H152)+$H152*(1+Assumptions!$C$9)*(1-$H152*(1+Assumptions!$C$9)))/($H152*Assumptions!$C$9)^2)</f>
        <v/>
      </c>
      <c r="K152" s="19" t="str">
        <f aca="false">IF(OR($B152="",$C152=""),"",$C152/Assumptions!$C$14*Assumptions!$C$11)</f>
        <v/>
      </c>
      <c r="L152" s="20" t="str">
        <f aca="false">IF(OR($B152="",$C152=""),"",$J152*Assumptions!$C$10/$K152)</f>
        <v/>
      </c>
      <c r="M152" s="21" t="str">
        <f aca="false">IF(OR($B152="",$C152=""),"",MIN(Assumptions!$C$20,52/MAX($L152,Assumptions!$C$12)))</f>
        <v/>
      </c>
      <c r="N152" s="22" t="str">
        <f aca="false">IF(OR($B152="",$C152=""),"",SQRT(Assumptions!$C$24)*SQRT(2*$H152*(1-$H152)/($K152*4/Assumptions!$C$10))/$H152)</f>
        <v/>
      </c>
      <c r="O152" s="23" t="str">
        <f aca="false">IF(OR($B152="",$C152=""),"",IF(AND($L152&lt;=Assumptions!$C$16,$B152&gt;=Assumptions!$C$17),"Tier 1",IF(AND($L152&lt;=Assumptions!$C$18,$B152&gt;=Assumptions!$C$19),"Tier 2","Tier 3")))</f>
        <v/>
      </c>
      <c r="P152" s="24" t="str">
        <f aca="false">IF(OR($B152="",$C152=""),"",IF($O152="Tier 1","Pursue — offer trial; plan 2-week tests",IF($O152="Tier 2","Qualify — trial only on top-traffic pages, bold tests (≥10% lift)","Don't trial A/B — nurture or sell non-testing services")))</f>
        <v/>
      </c>
    </row>
    <row r="153" customFormat="false" ht="15" hidden="false" customHeight="false" outlineLevel="0" collapsed="false">
      <c r="A153" s="13"/>
      <c r="B153" s="14"/>
      <c r="C153" s="15"/>
      <c r="D153" s="14"/>
      <c r="E153" s="13"/>
      <c r="F153" s="16" t="str">
        <f aca="false">IF(OR($B153="",$C153=""),"",IF($D153="",Assumptions!$C$13,$D153))</f>
        <v/>
      </c>
      <c r="G153" s="17" t="str">
        <f aca="false">IF(OR($B153="",$C153=""),"",$B153*1000000/12/$C153)</f>
        <v/>
      </c>
      <c r="H153" s="18" t="str">
        <f aca="false">IF(OR($B153="",$C153=""),"",$G153/$F153)</f>
        <v/>
      </c>
      <c r="I153" s="19" t="str">
        <f aca="false">IF(OR($B153="",$C153=""),"",$C153*$H153)</f>
        <v/>
      </c>
      <c r="J153" s="19" t="str">
        <f aca="false">IF(OR($B153="",$C153=""),"",Assumptions!$C$24*($H153*(1-$H153)+$H153*(1+Assumptions!$C$9)*(1-$H153*(1+Assumptions!$C$9)))/($H153*Assumptions!$C$9)^2)</f>
        <v/>
      </c>
      <c r="K153" s="19" t="str">
        <f aca="false">IF(OR($B153="",$C153=""),"",$C153/Assumptions!$C$14*Assumptions!$C$11)</f>
        <v/>
      </c>
      <c r="L153" s="20" t="str">
        <f aca="false">IF(OR($B153="",$C153=""),"",$J153*Assumptions!$C$10/$K153)</f>
        <v/>
      </c>
      <c r="M153" s="21" t="str">
        <f aca="false">IF(OR($B153="",$C153=""),"",MIN(Assumptions!$C$20,52/MAX($L153,Assumptions!$C$12)))</f>
        <v/>
      </c>
      <c r="N153" s="22" t="str">
        <f aca="false">IF(OR($B153="",$C153=""),"",SQRT(Assumptions!$C$24)*SQRT(2*$H153*(1-$H153)/($K153*4/Assumptions!$C$10))/$H153)</f>
        <v/>
      </c>
      <c r="O153" s="23" t="str">
        <f aca="false">IF(OR($B153="",$C153=""),"",IF(AND($L153&lt;=Assumptions!$C$16,$B153&gt;=Assumptions!$C$17),"Tier 1",IF(AND($L153&lt;=Assumptions!$C$18,$B153&gt;=Assumptions!$C$19),"Tier 2","Tier 3")))</f>
        <v/>
      </c>
      <c r="P153" s="24" t="str">
        <f aca="false">IF(OR($B153="",$C153=""),"",IF($O153="Tier 1","Pursue — offer trial; plan 2-week tests",IF($O153="Tier 2","Qualify — trial only on top-traffic pages, bold tests (≥10% lift)","Don't trial A/B — nurture or sell non-testing services")))</f>
        <v/>
      </c>
    </row>
    <row r="154" customFormat="false" ht="15" hidden="false" customHeight="false" outlineLevel="0" collapsed="false">
      <c r="A154" s="13"/>
      <c r="B154" s="14"/>
      <c r="C154" s="15"/>
      <c r="D154" s="14"/>
      <c r="E154" s="13"/>
      <c r="F154" s="16" t="str">
        <f aca="false">IF(OR($B154="",$C154=""),"",IF($D154="",Assumptions!$C$13,$D154))</f>
        <v/>
      </c>
      <c r="G154" s="17" t="str">
        <f aca="false">IF(OR($B154="",$C154=""),"",$B154*1000000/12/$C154)</f>
        <v/>
      </c>
      <c r="H154" s="18" t="str">
        <f aca="false">IF(OR($B154="",$C154=""),"",$G154/$F154)</f>
        <v/>
      </c>
      <c r="I154" s="19" t="str">
        <f aca="false">IF(OR($B154="",$C154=""),"",$C154*$H154)</f>
        <v/>
      </c>
      <c r="J154" s="19" t="str">
        <f aca="false">IF(OR($B154="",$C154=""),"",Assumptions!$C$24*($H154*(1-$H154)+$H154*(1+Assumptions!$C$9)*(1-$H154*(1+Assumptions!$C$9)))/($H154*Assumptions!$C$9)^2)</f>
        <v/>
      </c>
      <c r="K154" s="19" t="str">
        <f aca="false">IF(OR($B154="",$C154=""),"",$C154/Assumptions!$C$14*Assumptions!$C$11)</f>
        <v/>
      </c>
      <c r="L154" s="20" t="str">
        <f aca="false">IF(OR($B154="",$C154=""),"",$J154*Assumptions!$C$10/$K154)</f>
        <v/>
      </c>
      <c r="M154" s="21" t="str">
        <f aca="false">IF(OR($B154="",$C154=""),"",MIN(Assumptions!$C$20,52/MAX($L154,Assumptions!$C$12)))</f>
        <v/>
      </c>
      <c r="N154" s="22" t="str">
        <f aca="false">IF(OR($B154="",$C154=""),"",SQRT(Assumptions!$C$24)*SQRT(2*$H154*(1-$H154)/($K154*4/Assumptions!$C$10))/$H154)</f>
        <v/>
      </c>
      <c r="O154" s="23" t="str">
        <f aca="false">IF(OR($B154="",$C154=""),"",IF(AND($L154&lt;=Assumptions!$C$16,$B154&gt;=Assumptions!$C$17),"Tier 1",IF(AND($L154&lt;=Assumptions!$C$18,$B154&gt;=Assumptions!$C$19),"Tier 2","Tier 3")))</f>
        <v/>
      </c>
      <c r="P154" s="24" t="str">
        <f aca="false">IF(OR($B154="",$C154=""),"",IF($O154="Tier 1","Pursue — offer trial; plan 2-week tests",IF($O154="Tier 2","Qualify — trial only on top-traffic pages, bold tests (≥10% lift)","Don't trial A/B — nurture or sell non-testing services")))</f>
        <v/>
      </c>
    </row>
    <row r="155" customFormat="false" ht="15" hidden="false" customHeight="false" outlineLevel="0" collapsed="false">
      <c r="A155" s="13"/>
      <c r="B155" s="14"/>
      <c r="C155" s="15"/>
      <c r="D155" s="14"/>
      <c r="E155" s="13"/>
      <c r="F155" s="16" t="str">
        <f aca="false">IF(OR($B155="",$C155=""),"",IF($D155="",Assumptions!$C$13,$D155))</f>
        <v/>
      </c>
      <c r="G155" s="17" t="str">
        <f aca="false">IF(OR($B155="",$C155=""),"",$B155*1000000/12/$C155)</f>
        <v/>
      </c>
      <c r="H155" s="18" t="str">
        <f aca="false">IF(OR($B155="",$C155=""),"",$G155/$F155)</f>
        <v/>
      </c>
      <c r="I155" s="19" t="str">
        <f aca="false">IF(OR($B155="",$C155=""),"",$C155*$H155)</f>
        <v/>
      </c>
      <c r="J155" s="19" t="str">
        <f aca="false">IF(OR($B155="",$C155=""),"",Assumptions!$C$24*($H155*(1-$H155)+$H155*(1+Assumptions!$C$9)*(1-$H155*(1+Assumptions!$C$9)))/($H155*Assumptions!$C$9)^2)</f>
        <v/>
      </c>
      <c r="K155" s="19" t="str">
        <f aca="false">IF(OR($B155="",$C155=""),"",$C155/Assumptions!$C$14*Assumptions!$C$11)</f>
        <v/>
      </c>
      <c r="L155" s="20" t="str">
        <f aca="false">IF(OR($B155="",$C155=""),"",$J155*Assumptions!$C$10/$K155)</f>
        <v/>
      </c>
      <c r="M155" s="21" t="str">
        <f aca="false">IF(OR($B155="",$C155=""),"",MIN(Assumptions!$C$20,52/MAX($L155,Assumptions!$C$12)))</f>
        <v/>
      </c>
      <c r="N155" s="22" t="str">
        <f aca="false">IF(OR($B155="",$C155=""),"",SQRT(Assumptions!$C$24)*SQRT(2*$H155*(1-$H155)/($K155*4/Assumptions!$C$10))/$H155)</f>
        <v/>
      </c>
      <c r="O155" s="23" t="str">
        <f aca="false">IF(OR($B155="",$C155=""),"",IF(AND($L155&lt;=Assumptions!$C$16,$B155&gt;=Assumptions!$C$17),"Tier 1",IF(AND($L155&lt;=Assumptions!$C$18,$B155&gt;=Assumptions!$C$19),"Tier 2","Tier 3")))</f>
        <v/>
      </c>
      <c r="P155" s="24" t="str">
        <f aca="false">IF(OR($B155="",$C155=""),"",IF($O155="Tier 1","Pursue — offer trial; plan 2-week tests",IF($O155="Tier 2","Qualify — trial only on top-traffic pages, bold tests (≥10% lift)","Don't trial A/B — nurture or sell non-testing services")))</f>
        <v/>
      </c>
    </row>
    <row r="156" customFormat="false" ht="15" hidden="false" customHeight="false" outlineLevel="0" collapsed="false">
      <c r="A156" s="13"/>
      <c r="B156" s="14"/>
      <c r="C156" s="15"/>
      <c r="D156" s="14"/>
      <c r="E156" s="13"/>
      <c r="F156" s="16" t="str">
        <f aca="false">IF(OR($B156="",$C156=""),"",IF($D156="",Assumptions!$C$13,$D156))</f>
        <v/>
      </c>
      <c r="G156" s="17" t="str">
        <f aca="false">IF(OR($B156="",$C156=""),"",$B156*1000000/12/$C156)</f>
        <v/>
      </c>
      <c r="H156" s="18" t="str">
        <f aca="false">IF(OR($B156="",$C156=""),"",$G156/$F156)</f>
        <v/>
      </c>
      <c r="I156" s="19" t="str">
        <f aca="false">IF(OR($B156="",$C156=""),"",$C156*$H156)</f>
        <v/>
      </c>
      <c r="J156" s="19" t="str">
        <f aca="false">IF(OR($B156="",$C156=""),"",Assumptions!$C$24*($H156*(1-$H156)+$H156*(1+Assumptions!$C$9)*(1-$H156*(1+Assumptions!$C$9)))/($H156*Assumptions!$C$9)^2)</f>
        <v/>
      </c>
      <c r="K156" s="19" t="str">
        <f aca="false">IF(OR($B156="",$C156=""),"",$C156/Assumptions!$C$14*Assumptions!$C$11)</f>
        <v/>
      </c>
      <c r="L156" s="20" t="str">
        <f aca="false">IF(OR($B156="",$C156=""),"",$J156*Assumptions!$C$10/$K156)</f>
        <v/>
      </c>
      <c r="M156" s="21" t="str">
        <f aca="false">IF(OR($B156="",$C156=""),"",MIN(Assumptions!$C$20,52/MAX($L156,Assumptions!$C$12)))</f>
        <v/>
      </c>
      <c r="N156" s="22" t="str">
        <f aca="false">IF(OR($B156="",$C156=""),"",SQRT(Assumptions!$C$24)*SQRT(2*$H156*(1-$H156)/($K156*4/Assumptions!$C$10))/$H156)</f>
        <v/>
      </c>
      <c r="O156" s="23" t="str">
        <f aca="false">IF(OR($B156="",$C156=""),"",IF(AND($L156&lt;=Assumptions!$C$16,$B156&gt;=Assumptions!$C$17),"Tier 1",IF(AND($L156&lt;=Assumptions!$C$18,$B156&gt;=Assumptions!$C$19),"Tier 2","Tier 3")))</f>
        <v/>
      </c>
      <c r="P156" s="24" t="str">
        <f aca="false">IF(OR($B156="",$C156=""),"",IF($O156="Tier 1","Pursue — offer trial; plan 2-week tests",IF($O156="Tier 2","Qualify — trial only on top-traffic pages, bold tests (≥10% lift)","Don't trial A/B — nurture or sell non-testing services")))</f>
        <v/>
      </c>
    </row>
    <row r="157" customFormat="false" ht="15" hidden="false" customHeight="false" outlineLevel="0" collapsed="false">
      <c r="A157" s="13"/>
      <c r="B157" s="14"/>
      <c r="C157" s="15"/>
      <c r="D157" s="14"/>
      <c r="E157" s="13"/>
      <c r="F157" s="16" t="str">
        <f aca="false">IF(OR($B157="",$C157=""),"",IF($D157="",Assumptions!$C$13,$D157))</f>
        <v/>
      </c>
      <c r="G157" s="17" t="str">
        <f aca="false">IF(OR($B157="",$C157=""),"",$B157*1000000/12/$C157)</f>
        <v/>
      </c>
      <c r="H157" s="18" t="str">
        <f aca="false">IF(OR($B157="",$C157=""),"",$G157/$F157)</f>
        <v/>
      </c>
      <c r="I157" s="19" t="str">
        <f aca="false">IF(OR($B157="",$C157=""),"",$C157*$H157)</f>
        <v/>
      </c>
      <c r="J157" s="19" t="str">
        <f aca="false">IF(OR($B157="",$C157=""),"",Assumptions!$C$24*($H157*(1-$H157)+$H157*(1+Assumptions!$C$9)*(1-$H157*(1+Assumptions!$C$9)))/($H157*Assumptions!$C$9)^2)</f>
        <v/>
      </c>
      <c r="K157" s="19" t="str">
        <f aca="false">IF(OR($B157="",$C157=""),"",$C157/Assumptions!$C$14*Assumptions!$C$11)</f>
        <v/>
      </c>
      <c r="L157" s="20" t="str">
        <f aca="false">IF(OR($B157="",$C157=""),"",$J157*Assumptions!$C$10/$K157)</f>
        <v/>
      </c>
      <c r="M157" s="21" t="str">
        <f aca="false">IF(OR($B157="",$C157=""),"",MIN(Assumptions!$C$20,52/MAX($L157,Assumptions!$C$12)))</f>
        <v/>
      </c>
      <c r="N157" s="22" t="str">
        <f aca="false">IF(OR($B157="",$C157=""),"",SQRT(Assumptions!$C$24)*SQRT(2*$H157*(1-$H157)/($K157*4/Assumptions!$C$10))/$H157)</f>
        <v/>
      </c>
      <c r="O157" s="23" t="str">
        <f aca="false">IF(OR($B157="",$C157=""),"",IF(AND($L157&lt;=Assumptions!$C$16,$B157&gt;=Assumptions!$C$17),"Tier 1",IF(AND($L157&lt;=Assumptions!$C$18,$B157&gt;=Assumptions!$C$19),"Tier 2","Tier 3")))</f>
        <v/>
      </c>
      <c r="P157" s="24" t="str">
        <f aca="false">IF(OR($B157="",$C157=""),"",IF($O157="Tier 1","Pursue — offer trial; plan 2-week tests",IF($O157="Tier 2","Qualify — trial only on top-traffic pages, bold tests (≥10% lift)","Don't trial A/B — nurture or sell non-testing services")))</f>
        <v/>
      </c>
    </row>
    <row r="158" customFormat="false" ht="15" hidden="false" customHeight="false" outlineLevel="0" collapsed="false">
      <c r="A158" s="13"/>
      <c r="B158" s="14"/>
      <c r="C158" s="15"/>
      <c r="D158" s="14"/>
      <c r="E158" s="13"/>
      <c r="F158" s="16" t="str">
        <f aca="false">IF(OR($B158="",$C158=""),"",IF($D158="",Assumptions!$C$13,$D158))</f>
        <v/>
      </c>
      <c r="G158" s="17" t="str">
        <f aca="false">IF(OR($B158="",$C158=""),"",$B158*1000000/12/$C158)</f>
        <v/>
      </c>
      <c r="H158" s="18" t="str">
        <f aca="false">IF(OR($B158="",$C158=""),"",$G158/$F158)</f>
        <v/>
      </c>
      <c r="I158" s="19" t="str">
        <f aca="false">IF(OR($B158="",$C158=""),"",$C158*$H158)</f>
        <v/>
      </c>
      <c r="J158" s="19" t="str">
        <f aca="false">IF(OR($B158="",$C158=""),"",Assumptions!$C$24*($H158*(1-$H158)+$H158*(1+Assumptions!$C$9)*(1-$H158*(1+Assumptions!$C$9)))/($H158*Assumptions!$C$9)^2)</f>
        <v/>
      </c>
      <c r="K158" s="19" t="str">
        <f aca="false">IF(OR($B158="",$C158=""),"",$C158/Assumptions!$C$14*Assumptions!$C$11)</f>
        <v/>
      </c>
      <c r="L158" s="20" t="str">
        <f aca="false">IF(OR($B158="",$C158=""),"",$J158*Assumptions!$C$10/$K158)</f>
        <v/>
      </c>
      <c r="M158" s="21" t="str">
        <f aca="false">IF(OR($B158="",$C158=""),"",MIN(Assumptions!$C$20,52/MAX($L158,Assumptions!$C$12)))</f>
        <v/>
      </c>
      <c r="N158" s="22" t="str">
        <f aca="false">IF(OR($B158="",$C158=""),"",SQRT(Assumptions!$C$24)*SQRT(2*$H158*(1-$H158)/($K158*4/Assumptions!$C$10))/$H158)</f>
        <v/>
      </c>
      <c r="O158" s="23" t="str">
        <f aca="false">IF(OR($B158="",$C158=""),"",IF(AND($L158&lt;=Assumptions!$C$16,$B158&gt;=Assumptions!$C$17),"Tier 1",IF(AND($L158&lt;=Assumptions!$C$18,$B158&gt;=Assumptions!$C$19),"Tier 2","Tier 3")))</f>
        <v/>
      </c>
      <c r="P158" s="24" t="str">
        <f aca="false">IF(OR($B158="",$C158=""),"",IF($O158="Tier 1","Pursue — offer trial; plan 2-week tests",IF($O158="Tier 2","Qualify — trial only on top-traffic pages, bold tests (≥10% lift)","Don't trial A/B — nurture or sell non-testing services")))</f>
        <v/>
      </c>
    </row>
    <row r="159" customFormat="false" ht="15" hidden="false" customHeight="false" outlineLevel="0" collapsed="false">
      <c r="A159" s="13"/>
      <c r="B159" s="14"/>
      <c r="C159" s="15"/>
      <c r="D159" s="14"/>
      <c r="E159" s="13"/>
      <c r="F159" s="16" t="str">
        <f aca="false">IF(OR($B159="",$C159=""),"",IF($D159="",Assumptions!$C$13,$D159))</f>
        <v/>
      </c>
      <c r="G159" s="17" t="str">
        <f aca="false">IF(OR($B159="",$C159=""),"",$B159*1000000/12/$C159)</f>
        <v/>
      </c>
      <c r="H159" s="18" t="str">
        <f aca="false">IF(OR($B159="",$C159=""),"",$G159/$F159)</f>
        <v/>
      </c>
      <c r="I159" s="19" t="str">
        <f aca="false">IF(OR($B159="",$C159=""),"",$C159*$H159)</f>
        <v/>
      </c>
      <c r="J159" s="19" t="str">
        <f aca="false">IF(OR($B159="",$C159=""),"",Assumptions!$C$24*($H159*(1-$H159)+$H159*(1+Assumptions!$C$9)*(1-$H159*(1+Assumptions!$C$9)))/($H159*Assumptions!$C$9)^2)</f>
        <v/>
      </c>
      <c r="K159" s="19" t="str">
        <f aca="false">IF(OR($B159="",$C159=""),"",$C159/Assumptions!$C$14*Assumptions!$C$11)</f>
        <v/>
      </c>
      <c r="L159" s="20" t="str">
        <f aca="false">IF(OR($B159="",$C159=""),"",$J159*Assumptions!$C$10/$K159)</f>
        <v/>
      </c>
      <c r="M159" s="21" t="str">
        <f aca="false">IF(OR($B159="",$C159=""),"",MIN(Assumptions!$C$20,52/MAX($L159,Assumptions!$C$12)))</f>
        <v/>
      </c>
      <c r="N159" s="22" t="str">
        <f aca="false">IF(OR($B159="",$C159=""),"",SQRT(Assumptions!$C$24)*SQRT(2*$H159*(1-$H159)/($K159*4/Assumptions!$C$10))/$H159)</f>
        <v/>
      </c>
      <c r="O159" s="23" t="str">
        <f aca="false">IF(OR($B159="",$C159=""),"",IF(AND($L159&lt;=Assumptions!$C$16,$B159&gt;=Assumptions!$C$17),"Tier 1",IF(AND($L159&lt;=Assumptions!$C$18,$B159&gt;=Assumptions!$C$19),"Tier 2","Tier 3")))</f>
        <v/>
      </c>
      <c r="P159" s="24" t="str">
        <f aca="false">IF(OR($B159="",$C159=""),"",IF($O159="Tier 1","Pursue — offer trial; plan 2-week tests",IF($O159="Tier 2","Qualify — trial only on top-traffic pages, bold tests (≥10% lift)","Don't trial A/B — nurture or sell non-testing services")))</f>
        <v/>
      </c>
    </row>
    <row r="160" customFormat="false" ht="15" hidden="false" customHeight="false" outlineLevel="0" collapsed="false">
      <c r="A160" s="13"/>
      <c r="B160" s="14"/>
      <c r="C160" s="15"/>
      <c r="D160" s="14"/>
      <c r="E160" s="13"/>
      <c r="F160" s="16" t="str">
        <f aca="false">IF(OR($B160="",$C160=""),"",IF($D160="",Assumptions!$C$13,$D160))</f>
        <v/>
      </c>
      <c r="G160" s="17" t="str">
        <f aca="false">IF(OR($B160="",$C160=""),"",$B160*1000000/12/$C160)</f>
        <v/>
      </c>
      <c r="H160" s="18" t="str">
        <f aca="false">IF(OR($B160="",$C160=""),"",$G160/$F160)</f>
        <v/>
      </c>
      <c r="I160" s="19" t="str">
        <f aca="false">IF(OR($B160="",$C160=""),"",$C160*$H160)</f>
        <v/>
      </c>
      <c r="J160" s="19" t="str">
        <f aca="false">IF(OR($B160="",$C160=""),"",Assumptions!$C$24*($H160*(1-$H160)+$H160*(1+Assumptions!$C$9)*(1-$H160*(1+Assumptions!$C$9)))/($H160*Assumptions!$C$9)^2)</f>
        <v/>
      </c>
      <c r="K160" s="19" t="str">
        <f aca="false">IF(OR($B160="",$C160=""),"",$C160/Assumptions!$C$14*Assumptions!$C$11)</f>
        <v/>
      </c>
      <c r="L160" s="20" t="str">
        <f aca="false">IF(OR($B160="",$C160=""),"",$J160*Assumptions!$C$10/$K160)</f>
        <v/>
      </c>
      <c r="M160" s="21" t="str">
        <f aca="false">IF(OR($B160="",$C160=""),"",MIN(Assumptions!$C$20,52/MAX($L160,Assumptions!$C$12)))</f>
        <v/>
      </c>
      <c r="N160" s="22" t="str">
        <f aca="false">IF(OR($B160="",$C160=""),"",SQRT(Assumptions!$C$24)*SQRT(2*$H160*(1-$H160)/($K160*4/Assumptions!$C$10))/$H160)</f>
        <v/>
      </c>
      <c r="O160" s="23" t="str">
        <f aca="false">IF(OR($B160="",$C160=""),"",IF(AND($L160&lt;=Assumptions!$C$16,$B160&gt;=Assumptions!$C$17),"Tier 1",IF(AND($L160&lt;=Assumptions!$C$18,$B160&gt;=Assumptions!$C$19),"Tier 2","Tier 3")))</f>
        <v/>
      </c>
      <c r="P160" s="24" t="str">
        <f aca="false">IF(OR($B160="",$C160=""),"",IF($O160="Tier 1","Pursue — offer trial; plan 2-week tests",IF($O160="Tier 2","Qualify — trial only on top-traffic pages, bold tests (≥10% lift)","Don't trial A/B — nurture or sell non-testing services")))</f>
        <v/>
      </c>
    </row>
    <row r="161" customFormat="false" ht="15" hidden="false" customHeight="false" outlineLevel="0" collapsed="false">
      <c r="A161" s="13"/>
      <c r="B161" s="14"/>
      <c r="C161" s="15"/>
      <c r="D161" s="14"/>
      <c r="E161" s="13"/>
      <c r="F161" s="16" t="str">
        <f aca="false">IF(OR($B161="",$C161=""),"",IF($D161="",Assumptions!$C$13,$D161))</f>
        <v/>
      </c>
      <c r="G161" s="17" t="str">
        <f aca="false">IF(OR($B161="",$C161=""),"",$B161*1000000/12/$C161)</f>
        <v/>
      </c>
      <c r="H161" s="18" t="str">
        <f aca="false">IF(OR($B161="",$C161=""),"",$G161/$F161)</f>
        <v/>
      </c>
      <c r="I161" s="19" t="str">
        <f aca="false">IF(OR($B161="",$C161=""),"",$C161*$H161)</f>
        <v/>
      </c>
      <c r="J161" s="19" t="str">
        <f aca="false">IF(OR($B161="",$C161=""),"",Assumptions!$C$24*($H161*(1-$H161)+$H161*(1+Assumptions!$C$9)*(1-$H161*(1+Assumptions!$C$9)))/($H161*Assumptions!$C$9)^2)</f>
        <v/>
      </c>
      <c r="K161" s="19" t="str">
        <f aca="false">IF(OR($B161="",$C161=""),"",$C161/Assumptions!$C$14*Assumptions!$C$11)</f>
        <v/>
      </c>
      <c r="L161" s="20" t="str">
        <f aca="false">IF(OR($B161="",$C161=""),"",$J161*Assumptions!$C$10/$K161)</f>
        <v/>
      </c>
      <c r="M161" s="21" t="str">
        <f aca="false">IF(OR($B161="",$C161=""),"",MIN(Assumptions!$C$20,52/MAX($L161,Assumptions!$C$12)))</f>
        <v/>
      </c>
      <c r="N161" s="22" t="str">
        <f aca="false">IF(OR($B161="",$C161=""),"",SQRT(Assumptions!$C$24)*SQRT(2*$H161*(1-$H161)/($K161*4/Assumptions!$C$10))/$H161)</f>
        <v/>
      </c>
      <c r="O161" s="23" t="str">
        <f aca="false">IF(OR($B161="",$C161=""),"",IF(AND($L161&lt;=Assumptions!$C$16,$B161&gt;=Assumptions!$C$17),"Tier 1",IF(AND($L161&lt;=Assumptions!$C$18,$B161&gt;=Assumptions!$C$19),"Tier 2","Tier 3")))</f>
        <v/>
      </c>
      <c r="P161" s="24" t="str">
        <f aca="false">IF(OR($B161="",$C161=""),"",IF($O161="Tier 1","Pursue — offer trial; plan 2-week tests",IF($O161="Tier 2","Qualify — trial only on top-traffic pages, bold tests (≥10% lift)","Don't trial A/B — nurture or sell non-testing services")))</f>
        <v/>
      </c>
    </row>
    <row r="162" customFormat="false" ht="15" hidden="false" customHeight="false" outlineLevel="0" collapsed="false">
      <c r="A162" s="13"/>
      <c r="B162" s="14"/>
      <c r="C162" s="15"/>
      <c r="D162" s="14"/>
      <c r="E162" s="13"/>
      <c r="F162" s="16" t="str">
        <f aca="false">IF(OR($B162="",$C162=""),"",IF($D162="",Assumptions!$C$13,$D162))</f>
        <v/>
      </c>
      <c r="G162" s="17" t="str">
        <f aca="false">IF(OR($B162="",$C162=""),"",$B162*1000000/12/$C162)</f>
        <v/>
      </c>
      <c r="H162" s="18" t="str">
        <f aca="false">IF(OR($B162="",$C162=""),"",$G162/$F162)</f>
        <v/>
      </c>
      <c r="I162" s="19" t="str">
        <f aca="false">IF(OR($B162="",$C162=""),"",$C162*$H162)</f>
        <v/>
      </c>
      <c r="J162" s="19" t="str">
        <f aca="false">IF(OR($B162="",$C162=""),"",Assumptions!$C$24*($H162*(1-$H162)+$H162*(1+Assumptions!$C$9)*(1-$H162*(1+Assumptions!$C$9)))/($H162*Assumptions!$C$9)^2)</f>
        <v/>
      </c>
      <c r="K162" s="19" t="str">
        <f aca="false">IF(OR($B162="",$C162=""),"",$C162/Assumptions!$C$14*Assumptions!$C$11)</f>
        <v/>
      </c>
      <c r="L162" s="20" t="str">
        <f aca="false">IF(OR($B162="",$C162=""),"",$J162*Assumptions!$C$10/$K162)</f>
        <v/>
      </c>
      <c r="M162" s="21" t="str">
        <f aca="false">IF(OR($B162="",$C162=""),"",MIN(Assumptions!$C$20,52/MAX($L162,Assumptions!$C$12)))</f>
        <v/>
      </c>
      <c r="N162" s="22" t="str">
        <f aca="false">IF(OR($B162="",$C162=""),"",SQRT(Assumptions!$C$24)*SQRT(2*$H162*(1-$H162)/($K162*4/Assumptions!$C$10))/$H162)</f>
        <v/>
      </c>
      <c r="O162" s="23" t="str">
        <f aca="false">IF(OR($B162="",$C162=""),"",IF(AND($L162&lt;=Assumptions!$C$16,$B162&gt;=Assumptions!$C$17),"Tier 1",IF(AND($L162&lt;=Assumptions!$C$18,$B162&gt;=Assumptions!$C$19),"Tier 2","Tier 3")))</f>
        <v/>
      </c>
      <c r="P162" s="24" t="str">
        <f aca="false">IF(OR($B162="",$C162=""),"",IF($O162="Tier 1","Pursue — offer trial; plan 2-week tests",IF($O162="Tier 2","Qualify — trial only on top-traffic pages, bold tests (≥10% lift)","Don't trial A/B — nurture or sell non-testing services")))</f>
        <v/>
      </c>
    </row>
    <row r="163" customFormat="false" ht="15" hidden="false" customHeight="false" outlineLevel="0" collapsed="false">
      <c r="A163" s="13"/>
      <c r="B163" s="14"/>
      <c r="C163" s="15"/>
      <c r="D163" s="14"/>
      <c r="E163" s="13"/>
      <c r="F163" s="16" t="str">
        <f aca="false">IF(OR($B163="",$C163=""),"",IF($D163="",Assumptions!$C$13,$D163))</f>
        <v/>
      </c>
      <c r="G163" s="17" t="str">
        <f aca="false">IF(OR($B163="",$C163=""),"",$B163*1000000/12/$C163)</f>
        <v/>
      </c>
      <c r="H163" s="18" t="str">
        <f aca="false">IF(OR($B163="",$C163=""),"",$G163/$F163)</f>
        <v/>
      </c>
      <c r="I163" s="19" t="str">
        <f aca="false">IF(OR($B163="",$C163=""),"",$C163*$H163)</f>
        <v/>
      </c>
      <c r="J163" s="19" t="str">
        <f aca="false">IF(OR($B163="",$C163=""),"",Assumptions!$C$24*($H163*(1-$H163)+$H163*(1+Assumptions!$C$9)*(1-$H163*(1+Assumptions!$C$9)))/($H163*Assumptions!$C$9)^2)</f>
        <v/>
      </c>
      <c r="K163" s="19" t="str">
        <f aca="false">IF(OR($B163="",$C163=""),"",$C163/Assumptions!$C$14*Assumptions!$C$11)</f>
        <v/>
      </c>
      <c r="L163" s="20" t="str">
        <f aca="false">IF(OR($B163="",$C163=""),"",$J163*Assumptions!$C$10/$K163)</f>
        <v/>
      </c>
      <c r="M163" s="21" t="str">
        <f aca="false">IF(OR($B163="",$C163=""),"",MIN(Assumptions!$C$20,52/MAX($L163,Assumptions!$C$12)))</f>
        <v/>
      </c>
      <c r="N163" s="22" t="str">
        <f aca="false">IF(OR($B163="",$C163=""),"",SQRT(Assumptions!$C$24)*SQRT(2*$H163*(1-$H163)/($K163*4/Assumptions!$C$10))/$H163)</f>
        <v/>
      </c>
      <c r="O163" s="23" t="str">
        <f aca="false">IF(OR($B163="",$C163=""),"",IF(AND($L163&lt;=Assumptions!$C$16,$B163&gt;=Assumptions!$C$17),"Tier 1",IF(AND($L163&lt;=Assumptions!$C$18,$B163&gt;=Assumptions!$C$19),"Tier 2","Tier 3")))</f>
        <v/>
      </c>
      <c r="P163" s="24" t="str">
        <f aca="false">IF(OR($B163="",$C163=""),"",IF($O163="Tier 1","Pursue — offer trial; plan 2-week tests",IF($O163="Tier 2","Qualify — trial only on top-traffic pages, bold tests (≥10% lift)","Don't trial A/B — nurture or sell non-testing services")))</f>
        <v/>
      </c>
    </row>
    <row r="164" customFormat="false" ht="15" hidden="false" customHeight="false" outlineLevel="0" collapsed="false">
      <c r="A164" s="13"/>
      <c r="B164" s="14"/>
      <c r="C164" s="15"/>
      <c r="D164" s="14"/>
      <c r="E164" s="13"/>
      <c r="F164" s="16" t="str">
        <f aca="false">IF(OR($B164="",$C164=""),"",IF($D164="",Assumptions!$C$13,$D164))</f>
        <v/>
      </c>
      <c r="G164" s="17" t="str">
        <f aca="false">IF(OR($B164="",$C164=""),"",$B164*1000000/12/$C164)</f>
        <v/>
      </c>
      <c r="H164" s="18" t="str">
        <f aca="false">IF(OR($B164="",$C164=""),"",$G164/$F164)</f>
        <v/>
      </c>
      <c r="I164" s="19" t="str">
        <f aca="false">IF(OR($B164="",$C164=""),"",$C164*$H164)</f>
        <v/>
      </c>
      <c r="J164" s="19" t="str">
        <f aca="false">IF(OR($B164="",$C164=""),"",Assumptions!$C$24*($H164*(1-$H164)+$H164*(1+Assumptions!$C$9)*(1-$H164*(1+Assumptions!$C$9)))/($H164*Assumptions!$C$9)^2)</f>
        <v/>
      </c>
      <c r="K164" s="19" t="str">
        <f aca="false">IF(OR($B164="",$C164=""),"",$C164/Assumptions!$C$14*Assumptions!$C$11)</f>
        <v/>
      </c>
      <c r="L164" s="20" t="str">
        <f aca="false">IF(OR($B164="",$C164=""),"",$J164*Assumptions!$C$10/$K164)</f>
        <v/>
      </c>
      <c r="M164" s="21" t="str">
        <f aca="false">IF(OR($B164="",$C164=""),"",MIN(Assumptions!$C$20,52/MAX($L164,Assumptions!$C$12)))</f>
        <v/>
      </c>
      <c r="N164" s="22" t="str">
        <f aca="false">IF(OR($B164="",$C164=""),"",SQRT(Assumptions!$C$24)*SQRT(2*$H164*(1-$H164)/($K164*4/Assumptions!$C$10))/$H164)</f>
        <v/>
      </c>
      <c r="O164" s="23" t="str">
        <f aca="false">IF(OR($B164="",$C164=""),"",IF(AND($L164&lt;=Assumptions!$C$16,$B164&gt;=Assumptions!$C$17),"Tier 1",IF(AND($L164&lt;=Assumptions!$C$18,$B164&gt;=Assumptions!$C$19),"Tier 2","Tier 3")))</f>
        <v/>
      </c>
      <c r="P164" s="24" t="str">
        <f aca="false">IF(OR($B164="",$C164=""),"",IF($O164="Tier 1","Pursue — offer trial; plan 2-week tests",IF($O164="Tier 2","Qualify — trial only on top-traffic pages, bold tests (≥10% lift)","Don't trial A/B — nurture or sell non-testing services")))</f>
        <v/>
      </c>
    </row>
    <row r="165" customFormat="false" ht="15" hidden="false" customHeight="false" outlineLevel="0" collapsed="false">
      <c r="A165" s="13"/>
      <c r="B165" s="14"/>
      <c r="C165" s="15"/>
      <c r="D165" s="14"/>
      <c r="E165" s="13"/>
      <c r="F165" s="16" t="str">
        <f aca="false">IF(OR($B165="",$C165=""),"",IF($D165="",Assumptions!$C$13,$D165))</f>
        <v/>
      </c>
      <c r="G165" s="17" t="str">
        <f aca="false">IF(OR($B165="",$C165=""),"",$B165*1000000/12/$C165)</f>
        <v/>
      </c>
      <c r="H165" s="18" t="str">
        <f aca="false">IF(OR($B165="",$C165=""),"",$G165/$F165)</f>
        <v/>
      </c>
      <c r="I165" s="19" t="str">
        <f aca="false">IF(OR($B165="",$C165=""),"",$C165*$H165)</f>
        <v/>
      </c>
      <c r="J165" s="19" t="str">
        <f aca="false">IF(OR($B165="",$C165=""),"",Assumptions!$C$24*($H165*(1-$H165)+$H165*(1+Assumptions!$C$9)*(1-$H165*(1+Assumptions!$C$9)))/($H165*Assumptions!$C$9)^2)</f>
        <v/>
      </c>
      <c r="K165" s="19" t="str">
        <f aca="false">IF(OR($B165="",$C165=""),"",$C165/Assumptions!$C$14*Assumptions!$C$11)</f>
        <v/>
      </c>
      <c r="L165" s="20" t="str">
        <f aca="false">IF(OR($B165="",$C165=""),"",$J165*Assumptions!$C$10/$K165)</f>
        <v/>
      </c>
      <c r="M165" s="21" t="str">
        <f aca="false">IF(OR($B165="",$C165=""),"",MIN(Assumptions!$C$20,52/MAX($L165,Assumptions!$C$12)))</f>
        <v/>
      </c>
      <c r="N165" s="22" t="str">
        <f aca="false">IF(OR($B165="",$C165=""),"",SQRT(Assumptions!$C$24)*SQRT(2*$H165*(1-$H165)/($K165*4/Assumptions!$C$10))/$H165)</f>
        <v/>
      </c>
      <c r="O165" s="23" t="str">
        <f aca="false">IF(OR($B165="",$C165=""),"",IF(AND($L165&lt;=Assumptions!$C$16,$B165&gt;=Assumptions!$C$17),"Tier 1",IF(AND($L165&lt;=Assumptions!$C$18,$B165&gt;=Assumptions!$C$19),"Tier 2","Tier 3")))</f>
        <v/>
      </c>
      <c r="P165" s="24" t="str">
        <f aca="false">IF(OR($B165="",$C165=""),"",IF($O165="Tier 1","Pursue — offer trial; plan 2-week tests",IF($O165="Tier 2","Qualify — trial only on top-traffic pages, bold tests (≥10% lift)","Don't trial A/B — nurture or sell non-testing services")))</f>
        <v/>
      </c>
    </row>
    <row r="166" customFormat="false" ht="15" hidden="false" customHeight="false" outlineLevel="0" collapsed="false">
      <c r="A166" s="13"/>
      <c r="B166" s="14"/>
      <c r="C166" s="15"/>
      <c r="D166" s="14"/>
      <c r="E166" s="13"/>
      <c r="F166" s="16" t="str">
        <f aca="false">IF(OR($B166="",$C166=""),"",IF($D166="",Assumptions!$C$13,$D166))</f>
        <v/>
      </c>
      <c r="G166" s="17" t="str">
        <f aca="false">IF(OR($B166="",$C166=""),"",$B166*1000000/12/$C166)</f>
        <v/>
      </c>
      <c r="H166" s="18" t="str">
        <f aca="false">IF(OR($B166="",$C166=""),"",$G166/$F166)</f>
        <v/>
      </c>
      <c r="I166" s="19" t="str">
        <f aca="false">IF(OR($B166="",$C166=""),"",$C166*$H166)</f>
        <v/>
      </c>
      <c r="J166" s="19" t="str">
        <f aca="false">IF(OR($B166="",$C166=""),"",Assumptions!$C$24*($H166*(1-$H166)+$H166*(1+Assumptions!$C$9)*(1-$H166*(1+Assumptions!$C$9)))/($H166*Assumptions!$C$9)^2)</f>
        <v/>
      </c>
      <c r="K166" s="19" t="str">
        <f aca="false">IF(OR($B166="",$C166=""),"",$C166/Assumptions!$C$14*Assumptions!$C$11)</f>
        <v/>
      </c>
      <c r="L166" s="20" t="str">
        <f aca="false">IF(OR($B166="",$C166=""),"",$J166*Assumptions!$C$10/$K166)</f>
        <v/>
      </c>
      <c r="M166" s="21" t="str">
        <f aca="false">IF(OR($B166="",$C166=""),"",MIN(Assumptions!$C$20,52/MAX($L166,Assumptions!$C$12)))</f>
        <v/>
      </c>
      <c r="N166" s="22" t="str">
        <f aca="false">IF(OR($B166="",$C166=""),"",SQRT(Assumptions!$C$24)*SQRT(2*$H166*(1-$H166)/($K166*4/Assumptions!$C$10))/$H166)</f>
        <v/>
      </c>
      <c r="O166" s="23" t="str">
        <f aca="false">IF(OR($B166="",$C166=""),"",IF(AND($L166&lt;=Assumptions!$C$16,$B166&gt;=Assumptions!$C$17),"Tier 1",IF(AND($L166&lt;=Assumptions!$C$18,$B166&gt;=Assumptions!$C$19),"Tier 2","Tier 3")))</f>
        <v/>
      </c>
      <c r="P166" s="24" t="str">
        <f aca="false">IF(OR($B166="",$C166=""),"",IF($O166="Tier 1","Pursue — offer trial; plan 2-week tests",IF($O166="Tier 2","Qualify — trial only on top-traffic pages, bold tests (≥10% lift)","Don't trial A/B — nurture or sell non-testing services")))</f>
        <v/>
      </c>
    </row>
    <row r="167" customFormat="false" ht="15" hidden="false" customHeight="false" outlineLevel="0" collapsed="false">
      <c r="A167" s="13"/>
      <c r="B167" s="14"/>
      <c r="C167" s="15"/>
      <c r="D167" s="14"/>
      <c r="E167" s="13"/>
      <c r="F167" s="16" t="str">
        <f aca="false">IF(OR($B167="",$C167=""),"",IF($D167="",Assumptions!$C$13,$D167))</f>
        <v/>
      </c>
      <c r="G167" s="17" t="str">
        <f aca="false">IF(OR($B167="",$C167=""),"",$B167*1000000/12/$C167)</f>
        <v/>
      </c>
      <c r="H167" s="18" t="str">
        <f aca="false">IF(OR($B167="",$C167=""),"",$G167/$F167)</f>
        <v/>
      </c>
      <c r="I167" s="19" t="str">
        <f aca="false">IF(OR($B167="",$C167=""),"",$C167*$H167)</f>
        <v/>
      </c>
      <c r="J167" s="19" t="str">
        <f aca="false">IF(OR($B167="",$C167=""),"",Assumptions!$C$24*($H167*(1-$H167)+$H167*(1+Assumptions!$C$9)*(1-$H167*(1+Assumptions!$C$9)))/($H167*Assumptions!$C$9)^2)</f>
        <v/>
      </c>
      <c r="K167" s="19" t="str">
        <f aca="false">IF(OR($B167="",$C167=""),"",$C167/Assumptions!$C$14*Assumptions!$C$11)</f>
        <v/>
      </c>
      <c r="L167" s="20" t="str">
        <f aca="false">IF(OR($B167="",$C167=""),"",$J167*Assumptions!$C$10/$K167)</f>
        <v/>
      </c>
      <c r="M167" s="21" t="str">
        <f aca="false">IF(OR($B167="",$C167=""),"",MIN(Assumptions!$C$20,52/MAX($L167,Assumptions!$C$12)))</f>
        <v/>
      </c>
      <c r="N167" s="22" t="str">
        <f aca="false">IF(OR($B167="",$C167=""),"",SQRT(Assumptions!$C$24)*SQRT(2*$H167*(1-$H167)/($K167*4/Assumptions!$C$10))/$H167)</f>
        <v/>
      </c>
      <c r="O167" s="23" t="str">
        <f aca="false">IF(OR($B167="",$C167=""),"",IF(AND($L167&lt;=Assumptions!$C$16,$B167&gt;=Assumptions!$C$17),"Tier 1",IF(AND($L167&lt;=Assumptions!$C$18,$B167&gt;=Assumptions!$C$19),"Tier 2","Tier 3")))</f>
        <v/>
      </c>
      <c r="P167" s="24" t="str">
        <f aca="false">IF(OR($B167="",$C167=""),"",IF($O167="Tier 1","Pursue — offer trial; plan 2-week tests",IF($O167="Tier 2","Qualify — trial only on top-traffic pages, bold tests (≥10% lift)","Don't trial A/B — nurture or sell non-testing services")))</f>
        <v/>
      </c>
    </row>
    <row r="168" customFormat="false" ht="15" hidden="false" customHeight="false" outlineLevel="0" collapsed="false">
      <c r="A168" s="13"/>
      <c r="B168" s="14"/>
      <c r="C168" s="15"/>
      <c r="D168" s="14"/>
      <c r="E168" s="13"/>
      <c r="F168" s="16" t="str">
        <f aca="false">IF(OR($B168="",$C168=""),"",IF($D168="",Assumptions!$C$13,$D168))</f>
        <v/>
      </c>
      <c r="G168" s="17" t="str">
        <f aca="false">IF(OR($B168="",$C168=""),"",$B168*1000000/12/$C168)</f>
        <v/>
      </c>
      <c r="H168" s="18" t="str">
        <f aca="false">IF(OR($B168="",$C168=""),"",$G168/$F168)</f>
        <v/>
      </c>
      <c r="I168" s="19" t="str">
        <f aca="false">IF(OR($B168="",$C168=""),"",$C168*$H168)</f>
        <v/>
      </c>
      <c r="J168" s="19" t="str">
        <f aca="false">IF(OR($B168="",$C168=""),"",Assumptions!$C$24*($H168*(1-$H168)+$H168*(1+Assumptions!$C$9)*(1-$H168*(1+Assumptions!$C$9)))/($H168*Assumptions!$C$9)^2)</f>
        <v/>
      </c>
      <c r="K168" s="19" t="str">
        <f aca="false">IF(OR($B168="",$C168=""),"",$C168/Assumptions!$C$14*Assumptions!$C$11)</f>
        <v/>
      </c>
      <c r="L168" s="20" t="str">
        <f aca="false">IF(OR($B168="",$C168=""),"",$J168*Assumptions!$C$10/$K168)</f>
        <v/>
      </c>
      <c r="M168" s="21" t="str">
        <f aca="false">IF(OR($B168="",$C168=""),"",MIN(Assumptions!$C$20,52/MAX($L168,Assumptions!$C$12)))</f>
        <v/>
      </c>
      <c r="N168" s="22" t="str">
        <f aca="false">IF(OR($B168="",$C168=""),"",SQRT(Assumptions!$C$24)*SQRT(2*$H168*(1-$H168)/($K168*4/Assumptions!$C$10))/$H168)</f>
        <v/>
      </c>
      <c r="O168" s="23" t="str">
        <f aca="false">IF(OR($B168="",$C168=""),"",IF(AND($L168&lt;=Assumptions!$C$16,$B168&gt;=Assumptions!$C$17),"Tier 1",IF(AND($L168&lt;=Assumptions!$C$18,$B168&gt;=Assumptions!$C$19),"Tier 2","Tier 3")))</f>
        <v/>
      </c>
      <c r="P168" s="24" t="str">
        <f aca="false">IF(OR($B168="",$C168=""),"",IF($O168="Tier 1","Pursue — offer trial; plan 2-week tests",IF($O168="Tier 2","Qualify — trial only on top-traffic pages, bold tests (≥10% lift)","Don't trial A/B — nurture or sell non-testing services")))</f>
        <v/>
      </c>
    </row>
    <row r="169" customFormat="false" ht="15" hidden="false" customHeight="false" outlineLevel="0" collapsed="false">
      <c r="A169" s="13"/>
      <c r="B169" s="14"/>
      <c r="C169" s="15"/>
      <c r="D169" s="14"/>
      <c r="E169" s="13"/>
      <c r="F169" s="16" t="str">
        <f aca="false">IF(OR($B169="",$C169=""),"",IF($D169="",Assumptions!$C$13,$D169))</f>
        <v/>
      </c>
      <c r="G169" s="17" t="str">
        <f aca="false">IF(OR($B169="",$C169=""),"",$B169*1000000/12/$C169)</f>
        <v/>
      </c>
      <c r="H169" s="18" t="str">
        <f aca="false">IF(OR($B169="",$C169=""),"",$G169/$F169)</f>
        <v/>
      </c>
      <c r="I169" s="19" t="str">
        <f aca="false">IF(OR($B169="",$C169=""),"",$C169*$H169)</f>
        <v/>
      </c>
      <c r="J169" s="19" t="str">
        <f aca="false">IF(OR($B169="",$C169=""),"",Assumptions!$C$24*($H169*(1-$H169)+$H169*(1+Assumptions!$C$9)*(1-$H169*(1+Assumptions!$C$9)))/($H169*Assumptions!$C$9)^2)</f>
        <v/>
      </c>
      <c r="K169" s="19" t="str">
        <f aca="false">IF(OR($B169="",$C169=""),"",$C169/Assumptions!$C$14*Assumptions!$C$11)</f>
        <v/>
      </c>
      <c r="L169" s="20" t="str">
        <f aca="false">IF(OR($B169="",$C169=""),"",$J169*Assumptions!$C$10/$K169)</f>
        <v/>
      </c>
      <c r="M169" s="21" t="str">
        <f aca="false">IF(OR($B169="",$C169=""),"",MIN(Assumptions!$C$20,52/MAX($L169,Assumptions!$C$12)))</f>
        <v/>
      </c>
      <c r="N169" s="22" t="str">
        <f aca="false">IF(OR($B169="",$C169=""),"",SQRT(Assumptions!$C$24)*SQRT(2*$H169*(1-$H169)/($K169*4/Assumptions!$C$10))/$H169)</f>
        <v/>
      </c>
      <c r="O169" s="23" t="str">
        <f aca="false">IF(OR($B169="",$C169=""),"",IF(AND($L169&lt;=Assumptions!$C$16,$B169&gt;=Assumptions!$C$17),"Tier 1",IF(AND($L169&lt;=Assumptions!$C$18,$B169&gt;=Assumptions!$C$19),"Tier 2","Tier 3")))</f>
        <v/>
      </c>
      <c r="P169" s="24" t="str">
        <f aca="false">IF(OR($B169="",$C169=""),"",IF($O169="Tier 1","Pursue — offer trial; plan 2-week tests",IF($O169="Tier 2","Qualify — trial only on top-traffic pages, bold tests (≥10% lift)","Don't trial A/B — nurture or sell non-testing services")))</f>
        <v/>
      </c>
    </row>
    <row r="170" customFormat="false" ht="15" hidden="false" customHeight="false" outlineLevel="0" collapsed="false">
      <c r="A170" s="13"/>
      <c r="B170" s="14"/>
      <c r="C170" s="15"/>
      <c r="D170" s="14"/>
      <c r="E170" s="13"/>
      <c r="F170" s="16" t="str">
        <f aca="false">IF(OR($B170="",$C170=""),"",IF($D170="",Assumptions!$C$13,$D170))</f>
        <v/>
      </c>
      <c r="G170" s="17" t="str">
        <f aca="false">IF(OR($B170="",$C170=""),"",$B170*1000000/12/$C170)</f>
        <v/>
      </c>
      <c r="H170" s="18" t="str">
        <f aca="false">IF(OR($B170="",$C170=""),"",$G170/$F170)</f>
        <v/>
      </c>
      <c r="I170" s="19" t="str">
        <f aca="false">IF(OR($B170="",$C170=""),"",$C170*$H170)</f>
        <v/>
      </c>
      <c r="J170" s="19" t="str">
        <f aca="false">IF(OR($B170="",$C170=""),"",Assumptions!$C$24*($H170*(1-$H170)+$H170*(1+Assumptions!$C$9)*(1-$H170*(1+Assumptions!$C$9)))/($H170*Assumptions!$C$9)^2)</f>
        <v/>
      </c>
      <c r="K170" s="19" t="str">
        <f aca="false">IF(OR($B170="",$C170=""),"",$C170/Assumptions!$C$14*Assumptions!$C$11)</f>
        <v/>
      </c>
      <c r="L170" s="20" t="str">
        <f aca="false">IF(OR($B170="",$C170=""),"",$J170*Assumptions!$C$10/$K170)</f>
        <v/>
      </c>
      <c r="M170" s="21" t="str">
        <f aca="false">IF(OR($B170="",$C170=""),"",MIN(Assumptions!$C$20,52/MAX($L170,Assumptions!$C$12)))</f>
        <v/>
      </c>
      <c r="N170" s="22" t="str">
        <f aca="false">IF(OR($B170="",$C170=""),"",SQRT(Assumptions!$C$24)*SQRT(2*$H170*(1-$H170)/($K170*4/Assumptions!$C$10))/$H170)</f>
        <v/>
      </c>
      <c r="O170" s="23" t="str">
        <f aca="false">IF(OR($B170="",$C170=""),"",IF(AND($L170&lt;=Assumptions!$C$16,$B170&gt;=Assumptions!$C$17),"Tier 1",IF(AND($L170&lt;=Assumptions!$C$18,$B170&gt;=Assumptions!$C$19),"Tier 2","Tier 3")))</f>
        <v/>
      </c>
      <c r="P170" s="24" t="str">
        <f aca="false">IF(OR($B170="",$C170=""),"",IF($O170="Tier 1","Pursue — offer trial; plan 2-week tests",IF($O170="Tier 2","Qualify — trial only on top-traffic pages, bold tests (≥10% lift)","Don't trial A/B — nurture or sell non-testing services")))</f>
        <v/>
      </c>
    </row>
    <row r="171" customFormat="false" ht="15" hidden="false" customHeight="false" outlineLevel="0" collapsed="false">
      <c r="A171" s="13"/>
      <c r="B171" s="14"/>
      <c r="C171" s="15"/>
      <c r="D171" s="14"/>
      <c r="E171" s="13"/>
      <c r="F171" s="16" t="str">
        <f aca="false">IF(OR($B171="",$C171=""),"",IF($D171="",Assumptions!$C$13,$D171))</f>
        <v/>
      </c>
      <c r="G171" s="17" t="str">
        <f aca="false">IF(OR($B171="",$C171=""),"",$B171*1000000/12/$C171)</f>
        <v/>
      </c>
      <c r="H171" s="18" t="str">
        <f aca="false">IF(OR($B171="",$C171=""),"",$G171/$F171)</f>
        <v/>
      </c>
      <c r="I171" s="19" t="str">
        <f aca="false">IF(OR($B171="",$C171=""),"",$C171*$H171)</f>
        <v/>
      </c>
      <c r="J171" s="19" t="str">
        <f aca="false">IF(OR($B171="",$C171=""),"",Assumptions!$C$24*($H171*(1-$H171)+$H171*(1+Assumptions!$C$9)*(1-$H171*(1+Assumptions!$C$9)))/($H171*Assumptions!$C$9)^2)</f>
        <v/>
      </c>
      <c r="K171" s="19" t="str">
        <f aca="false">IF(OR($B171="",$C171=""),"",$C171/Assumptions!$C$14*Assumptions!$C$11)</f>
        <v/>
      </c>
      <c r="L171" s="20" t="str">
        <f aca="false">IF(OR($B171="",$C171=""),"",$J171*Assumptions!$C$10/$K171)</f>
        <v/>
      </c>
      <c r="M171" s="21" t="str">
        <f aca="false">IF(OR($B171="",$C171=""),"",MIN(Assumptions!$C$20,52/MAX($L171,Assumptions!$C$12)))</f>
        <v/>
      </c>
      <c r="N171" s="22" t="str">
        <f aca="false">IF(OR($B171="",$C171=""),"",SQRT(Assumptions!$C$24)*SQRT(2*$H171*(1-$H171)/($K171*4/Assumptions!$C$10))/$H171)</f>
        <v/>
      </c>
      <c r="O171" s="23" t="str">
        <f aca="false">IF(OR($B171="",$C171=""),"",IF(AND($L171&lt;=Assumptions!$C$16,$B171&gt;=Assumptions!$C$17),"Tier 1",IF(AND($L171&lt;=Assumptions!$C$18,$B171&gt;=Assumptions!$C$19),"Tier 2","Tier 3")))</f>
        <v/>
      </c>
      <c r="P171" s="24" t="str">
        <f aca="false">IF(OR($B171="",$C171=""),"",IF($O171="Tier 1","Pursue — offer trial; plan 2-week tests",IF($O171="Tier 2","Qualify — trial only on top-traffic pages, bold tests (≥10% lift)","Don't trial A/B — nurture or sell non-testing services")))</f>
        <v/>
      </c>
    </row>
    <row r="172" customFormat="false" ht="15" hidden="false" customHeight="false" outlineLevel="0" collapsed="false">
      <c r="A172" s="13"/>
      <c r="B172" s="14"/>
      <c r="C172" s="15"/>
      <c r="D172" s="14"/>
      <c r="E172" s="13"/>
      <c r="F172" s="16" t="str">
        <f aca="false">IF(OR($B172="",$C172=""),"",IF($D172="",Assumptions!$C$13,$D172))</f>
        <v/>
      </c>
      <c r="G172" s="17" t="str">
        <f aca="false">IF(OR($B172="",$C172=""),"",$B172*1000000/12/$C172)</f>
        <v/>
      </c>
      <c r="H172" s="18" t="str">
        <f aca="false">IF(OR($B172="",$C172=""),"",$G172/$F172)</f>
        <v/>
      </c>
      <c r="I172" s="19" t="str">
        <f aca="false">IF(OR($B172="",$C172=""),"",$C172*$H172)</f>
        <v/>
      </c>
      <c r="J172" s="19" t="str">
        <f aca="false">IF(OR($B172="",$C172=""),"",Assumptions!$C$24*($H172*(1-$H172)+$H172*(1+Assumptions!$C$9)*(1-$H172*(1+Assumptions!$C$9)))/($H172*Assumptions!$C$9)^2)</f>
        <v/>
      </c>
      <c r="K172" s="19" t="str">
        <f aca="false">IF(OR($B172="",$C172=""),"",$C172/Assumptions!$C$14*Assumptions!$C$11)</f>
        <v/>
      </c>
      <c r="L172" s="20" t="str">
        <f aca="false">IF(OR($B172="",$C172=""),"",$J172*Assumptions!$C$10/$K172)</f>
        <v/>
      </c>
      <c r="M172" s="21" t="str">
        <f aca="false">IF(OR($B172="",$C172=""),"",MIN(Assumptions!$C$20,52/MAX($L172,Assumptions!$C$12)))</f>
        <v/>
      </c>
      <c r="N172" s="22" t="str">
        <f aca="false">IF(OR($B172="",$C172=""),"",SQRT(Assumptions!$C$24)*SQRT(2*$H172*(1-$H172)/($K172*4/Assumptions!$C$10))/$H172)</f>
        <v/>
      </c>
      <c r="O172" s="23" t="str">
        <f aca="false">IF(OR($B172="",$C172=""),"",IF(AND($L172&lt;=Assumptions!$C$16,$B172&gt;=Assumptions!$C$17),"Tier 1",IF(AND($L172&lt;=Assumptions!$C$18,$B172&gt;=Assumptions!$C$19),"Tier 2","Tier 3")))</f>
        <v/>
      </c>
      <c r="P172" s="24" t="str">
        <f aca="false">IF(OR($B172="",$C172=""),"",IF($O172="Tier 1","Pursue — offer trial; plan 2-week tests",IF($O172="Tier 2","Qualify — trial only on top-traffic pages, bold tests (≥10% lift)","Don't trial A/B — nurture or sell non-testing services")))</f>
        <v/>
      </c>
    </row>
    <row r="173" customFormat="false" ht="15" hidden="false" customHeight="false" outlineLevel="0" collapsed="false">
      <c r="A173" s="13"/>
      <c r="B173" s="14"/>
      <c r="C173" s="15"/>
      <c r="D173" s="14"/>
      <c r="E173" s="13"/>
      <c r="F173" s="16" t="str">
        <f aca="false">IF(OR($B173="",$C173=""),"",IF($D173="",Assumptions!$C$13,$D173))</f>
        <v/>
      </c>
      <c r="G173" s="17" t="str">
        <f aca="false">IF(OR($B173="",$C173=""),"",$B173*1000000/12/$C173)</f>
        <v/>
      </c>
      <c r="H173" s="18" t="str">
        <f aca="false">IF(OR($B173="",$C173=""),"",$G173/$F173)</f>
        <v/>
      </c>
      <c r="I173" s="19" t="str">
        <f aca="false">IF(OR($B173="",$C173=""),"",$C173*$H173)</f>
        <v/>
      </c>
      <c r="J173" s="19" t="str">
        <f aca="false">IF(OR($B173="",$C173=""),"",Assumptions!$C$24*($H173*(1-$H173)+$H173*(1+Assumptions!$C$9)*(1-$H173*(1+Assumptions!$C$9)))/($H173*Assumptions!$C$9)^2)</f>
        <v/>
      </c>
      <c r="K173" s="19" t="str">
        <f aca="false">IF(OR($B173="",$C173=""),"",$C173/Assumptions!$C$14*Assumptions!$C$11)</f>
        <v/>
      </c>
      <c r="L173" s="20" t="str">
        <f aca="false">IF(OR($B173="",$C173=""),"",$J173*Assumptions!$C$10/$K173)</f>
        <v/>
      </c>
      <c r="M173" s="21" t="str">
        <f aca="false">IF(OR($B173="",$C173=""),"",MIN(Assumptions!$C$20,52/MAX($L173,Assumptions!$C$12)))</f>
        <v/>
      </c>
      <c r="N173" s="22" t="str">
        <f aca="false">IF(OR($B173="",$C173=""),"",SQRT(Assumptions!$C$24)*SQRT(2*$H173*(1-$H173)/($K173*4/Assumptions!$C$10))/$H173)</f>
        <v/>
      </c>
      <c r="O173" s="23" t="str">
        <f aca="false">IF(OR($B173="",$C173=""),"",IF(AND($L173&lt;=Assumptions!$C$16,$B173&gt;=Assumptions!$C$17),"Tier 1",IF(AND($L173&lt;=Assumptions!$C$18,$B173&gt;=Assumptions!$C$19),"Tier 2","Tier 3")))</f>
        <v/>
      </c>
      <c r="P173" s="24" t="str">
        <f aca="false">IF(OR($B173="",$C173=""),"",IF($O173="Tier 1","Pursue — offer trial; plan 2-week tests",IF($O173="Tier 2","Qualify — trial only on top-traffic pages, bold tests (≥10% lift)","Don't trial A/B — nurture or sell non-testing services")))</f>
        <v/>
      </c>
    </row>
    <row r="174" customFormat="false" ht="15" hidden="false" customHeight="false" outlineLevel="0" collapsed="false">
      <c r="A174" s="13"/>
      <c r="B174" s="14"/>
      <c r="C174" s="15"/>
      <c r="D174" s="14"/>
      <c r="E174" s="13"/>
      <c r="F174" s="16" t="str">
        <f aca="false">IF(OR($B174="",$C174=""),"",IF($D174="",Assumptions!$C$13,$D174))</f>
        <v/>
      </c>
      <c r="G174" s="17" t="str">
        <f aca="false">IF(OR($B174="",$C174=""),"",$B174*1000000/12/$C174)</f>
        <v/>
      </c>
      <c r="H174" s="18" t="str">
        <f aca="false">IF(OR($B174="",$C174=""),"",$G174/$F174)</f>
        <v/>
      </c>
      <c r="I174" s="19" t="str">
        <f aca="false">IF(OR($B174="",$C174=""),"",$C174*$H174)</f>
        <v/>
      </c>
      <c r="J174" s="19" t="str">
        <f aca="false">IF(OR($B174="",$C174=""),"",Assumptions!$C$24*($H174*(1-$H174)+$H174*(1+Assumptions!$C$9)*(1-$H174*(1+Assumptions!$C$9)))/($H174*Assumptions!$C$9)^2)</f>
        <v/>
      </c>
      <c r="K174" s="19" t="str">
        <f aca="false">IF(OR($B174="",$C174=""),"",$C174/Assumptions!$C$14*Assumptions!$C$11)</f>
        <v/>
      </c>
      <c r="L174" s="20" t="str">
        <f aca="false">IF(OR($B174="",$C174=""),"",$J174*Assumptions!$C$10/$K174)</f>
        <v/>
      </c>
      <c r="M174" s="21" t="str">
        <f aca="false">IF(OR($B174="",$C174=""),"",MIN(Assumptions!$C$20,52/MAX($L174,Assumptions!$C$12)))</f>
        <v/>
      </c>
      <c r="N174" s="22" t="str">
        <f aca="false">IF(OR($B174="",$C174=""),"",SQRT(Assumptions!$C$24)*SQRT(2*$H174*(1-$H174)/($K174*4/Assumptions!$C$10))/$H174)</f>
        <v/>
      </c>
      <c r="O174" s="23" t="str">
        <f aca="false">IF(OR($B174="",$C174=""),"",IF(AND($L174&lt;=Assumptions!$C$16,$B174&gt;=Assumptions!$C$17),"Tier 1",IF(AND($L174&lt;=Assumptions!$C$18,$B174&gt;=Assumptions!$C$19),"Tier 2","Tier 3")))</f>
        <v/>
      </c>
      <c r="P174" s="24" t="str">
        <f aca="false">IF(OR($B174="",$C174=""),"",IF($O174="Tier 1","Pursue — offer trial; plan 2-week tests",IF($O174="Tier 2","Qualify — trial only on top-traffic pages, bold tests (≥10% lift)","Don't trial A/B — nurture or sell non-testing services")))</f>
        <v/>
      </c>
    </row>
    <row r="175" customFormat="false" ht="15" hidden="false" customHeight="false" outlineLevel="0" collapsed="false">
      <c r="A175" s="13"/>
      <c r="B175" s="14"/>
      <c r="C175" s="15"/>
      <c r="D175" s="14"/>
      <c r="E175" s="13"/>
      <c r="F175" s="16" t="str">
        <f aca="false">IF(OR($B175="",$C175=""),"",IF($D175="",Assumptions!$C$13,$D175))</f>
        <v/>
      </c>
      <c r="G175" s="17" t="str">
        <f aca="false">IF(OR($B175="",$C175=""),"",$B175*1000000/12/$C175)</f>
        <v/>
      </c>
      <c r="H175" s="18" t="str">
        <f aca="false">IF(OR($B175="",$C175=""),"",$G175/$F175)</f>
        <v/>
      </c>
      <c r="I175" s="19" t="str">
        <f aca="false">IF(OR($B175="",$C175=""),"",$C175*$H175)</f>
        <v/>
      </c>
      <c r="J175" s="19" t="str">
        <f aca="false">IF(OR($B175="",$C175=""),"",Assumptions!$C$24*($H175*(1-$H175)+$H175*(1+Assumptions!$C$9)*(1-$H175*(1+Assumptions!$C$9)))/($H175*Assumptions!$C$9)^2)</f>
        <v/>
      </c>
      <c r="K175" s="19" t="str">
        <f aca="false">IF(OR($B175="",$C175=""),"",$C175/Assumptions!$C$14*Assumptions!$C$11)</f>
        <v/>
      </c>
      <c r="L175" s="20" t="str">
        <f aca="false">IF(OR($B175="",$C175=""),"",$J175*Assumptions!$C$10/$K175)</f>
        <v/>
      </c>
      <c r="M175" s="21" t="str">
        <f aca="false">IF(OR($B175="",$C175=""),"",MIN(Assumptions!$C$20,52/MAX($L175,Assumptions!$C$12)))</f>
        <v/>
      </c>
      <c r="N175" s="22" t="str">
        <f aca="false">IF(OR($B175="",$C175=""),"",SQRT(Assumptions!$C$24)*SQRT(2*$H175*(1-$H175)/($K175*4/Assumptions!$C$10))/$H175)</f>
        <v/>
      </c>
      <c r="O175" s="23" t="str">
        <f aca="false">IF(OR($B175="",$C175=""),"",IF(AND($L175&lt;=Assumptions!$C$16,$B175&gt;=Assumptions!$C$17),"Tier 1",IF(AND($L175&lt;=Assumptions!$C$18,$B175&gt;=Assumptions!$C$19),"Tier 2","Tier 3")))</f>
        <v/>
      </c>
      <c r="P175" s="24" t="str">
        <f aca="false">IF(OR($B175="",$C175=""),"",IF($O175="Tier 1","Pursue — offer trial; plan 2-week tests",IF($O175="Tier 2","Qualify — trial only on top-traffic pages, bold tests (≥10% lift)","Don't trial A/B — nurture or sell non-testing services")))</f>
        <v/>
      </c>
    </row>
    <row r="176" customFormat="false" ht="15" hidden="false" customHeight="false" outlineLevel="0" collapsed="false">
      <c r="A176" s="13"/>
      <c r="B176" s="14"/>
      <c r="C176" s="15"/>
      <c r="D176" s="14"/>
      <c r="E176" s="13"/>
      <c r="F176" s="16" t="str">
        <f aca="false">IF(OR($B176="",$C176=""),"",IF($D176="",Assumptions!$C$13,$D176))</f>
        <v/>
      </c>
      <c r="G176" s="17" t="str">
        <f aca="false">IF(OR($B176="",$C176=""),"",$B176*1000000/12/$C176)</f>
        <v/>
      </c>
      <c r="H176" s="18" t="str">
        <f aca="false">IF(OR($B176="",$C176=""),"",$G176/$F176)</f>
        <v/>
      </c>
      <c r="I176" s="19" t="str">
        <f aca="false">IF(OR($B176="",$C176=""),"",$C176*$H176)</f>
        <v/>
      </c>
      <c r="J176" s="19" t="str">
        <f aca="false">IF(OR($B176="",$C176=""),"",Assumptions!$C$24*($H176*(1-$H176)+$H176*(1+Assumptions!$C$9)*(1-$H176*(1+Assumptions!$C$9)))/($H176*Assumptions!$C$9)^2)</f>
        <v/>
      </c>
      <c r="K176" s="19" t="str">
        <f aca="false">IF(OR($B176="",$C176=""),"",$C176/Assumptions!$C$14*Assumptions!$C$11)</f>
        <v/>
      </c>
      <c r="L176" s="20" t="str">
        <f aca="false">IF(OR($B176="",$C176=""),"",$J176*Assumptions!$C$10/$K176)</f>
        <v/>
      </c>
      <c r="M176" s="21" t="str">
        <f aca="false">IF(OR($B176="",$C176=""),"",MIN(Assumptions!$C$20,52/MAX($L176,Assumptions!$C$12)))</f>
        <v/>
      </c>
      <c r="N176" s="22" t="str">
        <f aca="false">IF(OR($B176="",$C176=""),"",SQRT(Assumptions!$C$24)*SQRT(2*$H176*(1-$H176)/($K176*4/Assumptions!$C$10))/$H176)</f>
        <v/>
      </c>
      <c r="O176" s="23" t="str">
        <f aca="false">IF(OR($B176="",$C176=""),"",IF(AND($L176&lt;=Assumptions!$C$16,$B176&gt;=Assumptions!$C$17),"Tier 1",IF(AND($L176&lt;=Assumptions!$C$18,$B176&gt;=Assumptions!$C$19),"Tier 2","Tier 3")))</f>
        <v/>
      </c>
      <c r="P176" s="24" t="str">
        <f aca="false">IF(OR($B176="",$C176=""),"",IF($O176="Tier 1","Pursue — offer trial; plan 2-week tests",IF($O176="Tier 2","Qualify — trial only on top-traffic pages, bold tests (≥10% lift)","Don't trial A/B — nurture or sell non-testing services")))</f>
        <v/>
      </c>
    </row>
    <row r="177" customFormat="false" ht="15" hidden="false" customHeight="false" outlineLevel="0" collapsed="false">
      <c r="A177" s="13"/>
      <c r="B177" s="14"/>
      <c r="C177" s="15"/>
      <c r="D177" s="14"/>
      <c r="E177" s="13"/>
      <c r="F177" s="16" t="str">
        <f aca="false">IF(OR($B177="",$C177=""),"",IF($D177="",Assumptions!$C$13,$D177))</f>
        <v/>
      </c>
      <c r="G177" s="17" t="str">
        <f aca="false">IF(OR($B177="",$C177=""),"",$B177*1000000/12/$C177)</f>
        <v/>
      </c>
      <c r="H177" s="18" t="str">
        <f aca="false">IF(OR($B177="",$C177=""),"",$G177/$F177)</f>
        <v/>
      </c>
      <c r="I177" s="19" t="str">
        <f aca="false">IF(OR($B177="",$C177=""),"",$C177*$H177)</f>
        <v/>
      </c>
      <c r="J177" s="19" t="str">
        <f aca="false">IF(OR($B177="",$C177=""),"",Assumptions!$C$24*($H177*(1-$H177)+$H177*(1+Assumptions!$C$9)*(1-$H177*(1+Assumptions!$C$9)))/($H177*Assumptions!$C$9)^2)</f>
        <v/>
      </c>
      <c r="K177" s="19" t="str">
        <f aca="false">IF(OR($B177="",$C177=""),"",$C177/Assumptions!$C$14*Assumptions!$C$11)</f>
        <v/>
      </c>
      <c r="L177" s="20" t="str">
        <f aca="false">IF(OR($B177="",$C177=""),"",$J177*Assumptions!$C$10/$K177)</f>
        <v/>
      </c>
      <c r="M177" s="21" t="str">
        <f aca="false">IF(OR($B177="",$C177=""),"",MIN(Assumptions!$C$20,52/MAX($L177,Assumptions!$C$12)))</f>
        <v/>
      </c>
      <c r="N177" s="22" t="str">
        <f aca="false">IF(OR($B177="",$C177=""),"",SQRT(Assumptions!$C$24)*SQRT(2*$H177*(1-$H177)/($K177*4/Assumptions!$C$10))/$H177)</f>
        <v/>
      </c>
      <c r="O177" s="23" t="str">
        <f aca="false">IF(OR($B177="",$C177=""),"",IF(AND($L177&lt;=Assumptions!$C$16,$B177&gt;=Assumptions!$C$17),"Tier 1",IF(AND($L177&lt;=Assumptions!$C$18,$B177&gt;=Assumptions!$C$19),"Tier 2","Tier 3")))</f>
        <v/>
      </c>
      <c r="P177" s="24" t="str">
        <f aca="false">IF(OR($B177="",$C177=""),"",IF($O177="Tier 1","Pursue — offer trial; plan 2-week tests",IF($O177="Tier 2","Qualify — trial only on top-traffic pages, bold tests (≥10% lift)","Don't trial A/B — nurture or sell non-testing services")))</f>
        <v/>
      </c>
    </row>
    <row r="178" customFormat="false" ht="15" hidden="false" customHeight="false" outlineLevel="0" collapsed="false">
      <c r="A178" s="13"/>
      <c r="B178" s="14"/>
      <c r="C178" s="15"/>
      <c r="D178" s="14"/>
      <c r="E178" s="13"/>
      <c r="F178" s="16" t="str">
        <f aca="false">IF(OR($B178="",$C178=""),"",IF($D178="",Assumptions!$C$13,$D178))</f>
        <v/>
      </c>
      <c r="G178" s="17" t="str">
        <f aca="false">IF(OR($B178="",$C178=""),"",$B178*1000000/12/$C178)</f>
        <v/>
      </c>
      <c r="H178" s="18" t="str">
        <f aca="false">IF(OR($B178="",$C178=""),"",$G178/$F178)</f>
        <v/>
      </c>
      <c r="I178" s="19" t="str">
        <f aca="false">IF(OR($B178="",$C178=""),"",$C178*$H178)</f>
        <v/>
      </c>
      <c r="J178" s="19" t="str">
        <f aca="false">IF(OR($B178="",$C178=""),"",Assumptions!$C$24*($H178*(1-$H178)+$H178*(1+Assumptions!$C$9)*(1-$H178*(1+Assumptions!$C$9)))/($H178*Assumptions!$C$9)^2)</f>
        <v/>
      </c>
      <c r="K178" s="19" t="str">
        <f aca="false">IF(OR($B178="",$C178=""),"",$C178/Assumptions!$C$14*Assumptions!$C$11)</f>
        <v/>
      </c>
      <c r="L178" s="20" t="str">
        <f aca="false">IF(OR($B178="",$C178=""),"",$J178*Assumptions!$C$10/$K178)</f>
        <v/>
      </c>
      <c r="M178" s="21" t="str">
        <f aca="false">IF(OR($B178="",$C178=""),"",MIN(Assumptions!$C$20,52/MAX($L178,Assumptions!$C$12)))</f>
        <v/>
      </c>
      <c r="N178" s="22" t="str">
        <f aca="false">IF(OR($B178="",$C178=""),"",SQRT(Assumptions!$C$24)*SQRT(2*$H178*(1-$H178)/($K178*4/Assumptions!$C$10))/$H178)</f>
        <v/>
      </c>
      <c r="O178" s="23" t="str">
        <f aca="false">IF(OR($B178="",$C178=""),"",IF(AND($L178&lt;=Assumptions!$C$16,$B178&gt;=Assumptions!$C$17),"Tier 1",IF(AND($L178&lt;=Assumptions!$C$18,$B178&gt;=Assumptions!$C$19),"Tier 2","Tier 3")))</f>
        <v/>
      </c>
      <c r="P178" s="24" t="str">
        <f aca="false">IF(OR($B178="",$C178=""),"",IF($O178="Tier 1","Pursue — offer trial; plan 2-week tests",IF($O178="Tier 2","Qualify — trial only on top-traffic pages, bold tests (≥10% lift)","Don't trial A/B — nurture or sell non-testing services")))</f>
        <v/>
      </c>
    </row>
    <row r="179" customFormat="false" ht="15" hidden="false" customHeight="false" outlineLevel="0" collapsed="false">
      <c r="A179" s="13"/>
      <c r="B179" s="14"/>
      <c r="C179" s="15"/>
      <c r="D179" s="14"/>
      <c r="E179" s="13"/>
      <c r="F179" s="16" t="str">
        <f aca="false">IF(OR($B179="",$C179=""),"",IF($D179="",Assumptions!$C$13,$D179))</f>
        <v/>
      </c>
      <c r="G179" s="17" t="str">
        <f aca="false">IF(OR($B179="",$C179=""),"",$B179*1000000/12/$C179)</f>
        <v/>
      </c>
      <c r="H179" s="18" t="str">
        <f aca="false">IF(OR($B179="",$C179=""),"",$G179/$F179)</f>
        <v/>
      </c>
      <c r="I179" s="19" t="str">
        <f aca="false">IF(OR($B179="",$C179=""),"",$C179*$H179)</f>
        <v/>
      </c>
      <c r="J179" s="19" t="str">
        <f aca="false">IF(OR($B179="",$C179=""),"",Assumptions!$C$24*($H179*(1-$H179)+$H179*(1+Assumptions!$C$9)*(1-$H179*(1+Assumptions!$C$9)))/($H179*Assumptions!$C$9)^2)</f>
        <v/>
      </c>
      <c r="K179" s="19" t="str">
        <f aca="false">IF(OR($B179="",$C179=""),"",$C179/Assumptions!$C$14*Assumptions!$C$11)</f>
        <v/>
      </c>
      <c r="L179" s="20" t="str">
        <f aca="false">IF(OR($B179="",$C179=""),"",$J179*Assumptions!$C$10/$K179)</f>
        <v/>
      </c>
      <c r="M179" s="21" t="str">
        <f aca="false">IF(OR($B179="",$C179=""),"",MIN(Assumptions!$C$20,52/MAX($L179,Assumptions!$C$12)))</f>
        <v/>
      </c>
      <c r="N179" s="22" t="str">
        <f aca="false">IF(OR($B179="",$C179=""),"",SQRT(Assumptions!$C$24)*SQRT(2*$H179*(1-$H179)/($K179*4/Assumptions!$C$10))/$H179)</f>
        <v/>
      </c>
      <c r="O179" s="23" t="str">
        <f aca="false">IF(OR($B179="",$C179=""),"",IF(AND($L179&lt;=Assumptions!$C$16,$B179&gt;=Assumptions!$C$17),"Tier 1",IF(AND($L179&lt;=Assumptions!$C$18,$B179&gt;=Assumptions!$C$19),"Tier 2","Tier 3")))</f>
        <v/>
      </c>
      <c r="P179" s="24" t="str">
        <f aca="false">IF(OR($B179="",$C179=""),"",IF($O179="Tier 1","Pursue — offer trial; plan 2-week tests",IF($O179="Tier 2","Qualify — trial only on top-traffic pages, bold tests (≥10% lift)","Don't trial A/B — nurture or sell non-testing services")))</f>
        <v/>
      </c>
    </row>
    <row r="180" customFormat="false" ht="15" hidden="false" customHeight="false" outlineLevel="0" collapsed="false">
      <c r="A180" s="13"/>
      <c r="B180" s="14"/>
      <c r="C180" s="15"/>
      <c r="D180" s="14"/>
      <c r="E180" s="13"/>
      <c r="F180" s="16" t="str">
        <f aca="false">IF(OR($B180="",$C180=""),"",IF($D180="",Assumptions!$C$13,$D180))</f>
        <v/>
      </c>
      <c r="G180" s="17" t="str">
        <f aca="false">IF(OR($B180="",$C180=""),"",$B180*1000000/12/$C180)</f>
        <v/>
      </c>
      <c r="H180" s="18" t="str">
        <f aca="false">IF(OR($B180="",$C180=""),"",$G180/$F180)</f>
        <v/>
      </c>
      <c r="I180" s="19" t="str">
        <f aca="false">IF(OR($B180="",$C180=""),"",$C180*$H180)</f>
        <v/>
      </c>
      <c r="J180" s="19" t="str">
        <f aca="false">IF(OR($B180="",$C180=""),"",Assumptions!$C$24*($H180*(1-$H180)+$H180*(1+Assumptions!$C$9)*(1-$H180*(1+Assumptions!$C$9)))/($H180*Assumptions!$C$9)^2)</f>
        <v/>
      </c>
      <c r="K180" s="19" t="str">
        <f aca="false">IF(OR($B180="",$C180=""),"",$C180/Assumptions!$C$14*Assumptions!$C$11)</f>
        <v/>
      </c>
      <c r="L180" s="20" t="str">
        <f aca="false">IF(OR($B180="",$C180=""),"",$J180*Assumptions!$C$10/$K180)</f>
        <v/>
      </c>
      <c r="M180" s="21" t="str">
        <f aca="false">IF(OR($B180="",$C180=""),"",MIN(Assumptions!$C$20,52/MAX($L180,Assumptions!$C$12)))</f>
        <v/>
      </c>
      <c r="N180" s="22" t="str">
        <f aca="false">IF(OR($B180="",$C180=""),"",SQRT(Assumptions!$C$24)*SQRT(2*$H180*(1-$H180)/($K180*4/Assumptions!$C$10))/$H180)</f>
        <v/>
      </c>
      <c r="O180" s="23" t="str">
        <f aca="false">IF(OR($B180="",$C180=""),"",IF(AND($L180&lt;=Assumptions!$C$16,$B180&gt;=Assumptions!$C$17),"Tier 1",IF(AND($L180&lt;=Assumptions!$C$18,$B180&gt;=Assumptions!$C$19),"Tier 2","Tier 3")))</f>
        <v/>
      </c>
      <c r="P180" s="24" t="str">
        <f aca="false">IF(OR($B180="",$C180=""),"",IF($O180="Tier 1","Pursue — offer trial; plan 2-week tests",IF($O180="Tier 2","Qualify — trial only on top-traffic pages, bold tests (≥10% lift)","Don't trial A/B — nurture or sell non-testing services")))</f>
        <v/>
      </c>
    </row>
    <row r="181" customFormat="false" ht="15" hidden="false" customHeight="false" outlineLevel="0" collapsed="false">
      <c r="A181" s="13"/>
      <c r="B181" s="14"/>
      <c r="C181" s="15"/>
      <c r="D181" s="14"/>
      <c r="E181" s="13"/>
      <c r="F181" s="16" t="str">
        <f aca="false">IF(OR($B181="",$C181=""),"",IF($D181="",Assumptions!$C$13,$D181))</f>
        <v/>
      </c>
      <c r="G181" s="17" t="str">
        <f aca="false">IF(OR($B181="",$C181=""),"",$B181*1000000/12/$C181)</f>
        <v/>
      </c>
      <c r="H181" s="18" t="str">
        <f aca="false">IF(OR($B181="",$C181=""),"",$G181/$F181)</f>
        <v/>
      </c>
      <c r="I181" s="19" t="str">
        <f aca="false">IF(OR($B181="",$C181=""),"",$C181*$H181)</f>
        <v/>
      </c>
      <c r="J181" s="19" t="str">
        <f aca="false">IF(OR($B181="",$C181=""),"",Assumptions!$C$24*($H181*(1-$H181)+$H181*(1+Assumptions!$C$9)*(1-$H181*(1+Assumptions!$C$9)))/($H181*Assumptions!$C$9)^2)</f>
        <v/>
      </c>
      <c r="K181" s="19" t="str">
        <f aca="false">IF(OR($B181="",$C181=""),"",$C181/Assumptions!$C$14*Assumptions!$C$11)</f>
        <v/>
      </c>
      <c r="L181" s="20" t="str">
        <f aca="false">IF(OR($B181="",$C181=""),"",$J181*Assumptions!$C$10/$K181)</f>
        <v/>
      </c>
      <c r="M181" s="21" t="str">
        <f aca="false">IF(OR($B181="",$C181=""),"",MIN(Assumptions!$C$20,52/MAX($L181,Assumptions!$C$12)))</f>
        <v/>
      </c>
      <c r="N181" s="22" t="str">
        <f aca="false">IF(OR($B181="",$C181=""),"",SQRT(Assumptions!$C$24)*SQRT(2*$H181*(1-$H181)/($K181*4/Assumptions!$C$10))/$H181)</f>
        <v/>
      </c>
      <c r="O181" s="23" t="str">
        <f aca="false">IF(OR($B181="",$C181=""),"",IF(AND($L181&lt;=Assumptions!$C$16,$B181&gt;=Assumptions!$C$17),"Tier 1",IF(AND($L181&lt;=Assumptions!$C$18,$B181&gt;=Assumptions!$C$19),"Tier 2","Tier 3")))</f>
        <v/>
      </c>
      <c r="P181" s="24" t="str">
        <f aca="false">IF(OR($B181="",$C181=""),"",IF($O181="Tier 1","Pursue — offer trial; plan 2-week tests",IF($O181="Tier 2","Qualify — trial only on top-traffic pages, bold tests (≥10% lift)","Don't trial A/B — nurture or sell non-testing services")))</f>
        <v/>
      </c>
    </row>
    <row r="182" customFormat="false" ht="15" hidden="false" customHeight="false" outlineLevel="0" collapsed="false">
      <c r="A182" s="13"/>
      <c r="B182" s="14"/>
      <c r="C182" s="15"/>
      <c r="D182" s="14"/>
      <c r="E182" s="13"/>
      <c r="F182" s="16" t="str">
        <f aca="false">IF(OR($B182="",$C182=""),"",IF($D182="",Assumptions!$C$13,$D182))</f>
        <v/>
      </c>
      <c r="G182" s="17" t="str">
        <f aca="false">IF(OR($B182="",$C182=""),"",$B182*1000000/12/$C182)</f>
        <v/>
      </c>
      <c r="H182" s="18" t="str">
        <f aca="false">IF(OR($B182="",$C182=""),"",$G182/$F182)</f>
        <v/>
      </c>
      <c r="I182" s="19" t="str">
        <f aca="false">IF(OR($B182="",$C182=""),"",$C182*$H182)</f>
        <v/>
      </c>
      <c r="J182" s="19" t="str">
        <f aca="false">IF(OR($B182="",$C182=""),"",Assumptions!$C$24*($H182*(1-$H182)+$H182*(1+Assumptions!$C$9)*(1-$H182*(1+Assumptions!$C$9)))/($H182*Assumptions!$C$9)^2)</f>
        <v/>
      </c>
      <c r="K182" s="19" t="str">
        <f aca="false">IF(OR($B182="",$C182=""),"",$C182/Assumptions!$C$14*Assumptions!$C$11)</f>
        <v/>
      </c>
      <c r="L182" s="20" t="str">
        <f aca="false">IF(OR($B182="",$C182=""),"",$J182*Assumptions!$C$10/$K182)</f>
        <v/>
      </c>
      <c r="M182" s="21" t="str">
        <f aca="false">IF(OR($B182="",$C182=""),"",MIN(Assumptions!$C$20,52/MAX($L182,Assumptions!$C$12)))</f>
        <v/>
      </c>
      <c r="N182" s="22" t="str">
        <f aca="false">IF(OR($B182="",$C182=""),"",SQRT(Assumptions!$C$24)*SQRT(2*$H182*(1-$H182)/($K182*4/Assumptions!$C$10))/$H182)</f>
        <v/>
      </c>
      <c r="O182" s="23" t="str">
        <f aca="false">IF(OR($B182="",$C182=""),"",IF(AND($L182&lt;=Assumptions!$C$16,$B182&gt;=Assumptions!$C$17),"Tier 1",IF(AND($L182&lt;=Assumptions!$C$18,$B182&gt;=Assumptions!$C$19),"Tier 2","Tier 3")))</f>
        <v/>
      </c>
      <c r="P182" s="24" t="str">
        <f aca="false">IF(OR($B182="",$C182=""),"",IF($O182="Tier 1","Pursue — offer trial; plan 2-week tests",IF($O182="Tier 2","Qualify — trial only on top-traffic pages, bold tests (≥10% lift)","Don't trial A/B — nurture or sell non-testing services")))</f>
        <v/>
      </c>
    </row>
    <row r="183" customFormat="false" ht="15" hidden="false" customHeight="false" outlineLevel="0" collapsed="false">
      <c r="A183" s="13"/>
      <c r="B183" s="14"/>
      <c r="C183" s="15"/>
      <c r="D183" s="14"/>
      <c r="E183" s="13"/>
      <c r="F183" s="16" t="str">
        <f aca="false">IF(OR($B183="",$C183=""),"",IF($D183="",Assumptions!$C$13,$D183))</f>
        <v/>
      </c>
      <c r="G183" s="17" t="str">
        <f aca="false">IF(OR($B183="",$C183=""),"",$B183*1000000/12/$C183)</f>
        <v/>
      </c>
      <c r="H183" s="18" t="str">
        <f aca="false">IF(OR($B183="",$C183=""),"",$G183/$F183)</f>
        <v/>
      </c>
      <c r="I183" s="19" t="str">
        <f aca="false">IF(OR($B183="",$C183=""),"",$C183*$H183)</f>
        <v/>
      </c>
      <c r="J183" s="19" t="str">
        <f aca="false">IF(OR($B183="",$C183=""),"",Assumptions!$C$24*($H183*(1-$H183)+$H183*(1+Assumptions!$C$9)*(1-$H183*(1+Assumptions!$C$9)))/($H183*Assumptions!$C$9)^2)</f>
        <v/>
      </c>
      <c r="K183" s="19" t="str">
        <f aca="false">IF(OR($B183="",$C183=""),"",$C183/Assumptions!$C$14*Assumptions!$C$11)</f>
        <v/>
      </c>
      <c r="L183" s="20" t="str">
        <f aca="false">IF(OR($B183="",$C183=""),"",$J183*Assumptions!$C$10/$K183)</f>
        <v/>
      </c>
      <c r="M183" s="21" t="str">
        <f aca="false">IF(OR($B183="",$C183=""),"",MIN(Assumptions!$C$20,52/MAX($L183,Assumptions!$C$12)))</f>
        <v/>
      </c>
      <c r="N183" s="22" t="str">
        <f aca="false">IF(OR($B183="",$C183=""),"",SQRT(Assumptions!$C$24)*SQRT(2*$H183*(1-$H183)/($K183*4/Assumptions!$C$10))/$H183)</f>
        <v/>
      </c>
      <c r="O183" s="23" t="str">
        <f aca="false">IF(OR($B183="",$C183=""),"",IF(AND($L183&lt;=Assumptions!$C$16,$B183&gt;=Assumptions!$C$17),"Tier 1",IF(AND($L183&lt;=Assumptions!$C$18,$B183&gt;=Assumptions!$C$19),"Tier 2","Tier 3")))</f>
        <v/>
      </c>
      <c r="P183" s="24" t="str">
        <f aca="false">IF(OR($B183="",$C183=""),"",IF($O183="Tier 1","Pursue — offer trial; plan 2-week tests",IF($O183="Tier 2","Qualify — trial only on top-traffic pages, bold tests (≥10% lift)","Don't trial A/B — nurture or sell non-testing services")))</f>
        <v/>
      </c>
    </row>
    <row r="184" customFormat="false" ht="15" hidden="false" customHeight="false" outlineLevel="0" collapsed="false">
      <c r="A184" s="13"/>
      <c r="B184" s="14"/>
      <c r="C184" s="15"/>
      <c r="D184" s="14"/>
      <c r="E184" s="13"/>
      <c r="F184" s="16" t="str">
        <f aca="false">IF(OR($B184="",$C184=""),"",IF($D184="",Assumptions!$C$13,$D184))</f>
        <v/>
      </c>
      <c r="G184" s="17" t="str">
        <f aca="false">IF(OR($B184="",$C184=""),"",$B184*1000000/12/$C184)</f>
        <v/>
      </c>
      <c r="H184" s="18" t="str">
        <f aca="false">IF(OR($B184="",$C184=""),"",$G184/$F184)</f>
        <v/>
      </c>
      <c r="I184" s="19" t="str">
        <f aca="false">IF(OR($B184="",$C184=""),"",$C184*$H184)</f>
        <v/>
      </c>
      <c r="J184" s="19" t="str">
        <f aca="false">IF(OR($B184="",$C184=""),"",Assumptions!$C$24*($H184*(1-$H184)+$H184*(1+Assumptions!$C$9)*(1-$H184*(1+Assumptions!$C$9)))/($H184*Assumptions!$C$9)^2)</f>
        <v/>
      </c>
      <c r="K184" s="19" t="str">
        <f aca="false">IF(OR($B184="",$C184=""),"",$C184/Assumptions!$C$14*Assumptions!$C$11)</f>
        <v/>
      </c>
      <c r="L184" s="20" t="str">
        <f aca="false">IF(OR($B184="",$C184=""),"",$J184*Assumptions!$C$10/$K184)</f>
        <v/>
      </c>
      <c r="M184" s="21" t="str">
        <f aca="false">IF(OR($B184="",$C184=""),"",MIN(Assumptions!$C$20,52/MAX($L184,Assumptions!$C$12)))</f>
        <v/>
      </c>
      <c r="N184" s="22" t="str">
        <f aca="false">IF(OR($B184="",$C184=""),"",SQRT(Assumptions!$C$24)*SQRT(2*$H184*(1-$H184)/($K184*4/Assumptions!$C$10))/$H184)</f>
        <v/>
      </c>
      <c r="O184" s="23" t="str">
        <f aca="false">IF(OR($B184="",$C184=""),"",IF(AND($L184&lt;=Assumptions!$C$16,$B184&gt;=Assumptions!$C$17),"Tier 1",IF(AND($L184&lt;=Assumptions!$C$18,$B184&gt;=Assumptions!$C$19),"Tier 2","Tier 3")))</f>
        <v/>
      </c>
      <c r="P184" s="24" t="str">
        <f aca="false">IF(OR($B184="",$C184=""),"",IF($O184="Tier 1","Pursue — offer trial; plan 2-week tests",IF($O184="Tier 2","Qualify — trial only on top-traffic pages, bold tests (≥10% lift)","Don't trial A/B — nurture or sell non-testing services")))</f>
        <v/>
      </c>
    </row>
    <row r="185" customFormat="false" ht="15" hidden="false" customHeight="false" outlineLevel="0" collapsed="false">
      <c r="A185" s="13"/>
      <c r="B185" s="14"/>
      <c r="C185" s="15"/>
      <c r="D185" s="14"/>
      <c r="E185" s="13"/>
      <c r="F185" s="16" t="str">
        <f aca="false">IF(OR($B185="",$C185=""),"",IF($D185="",Assumptions!$C$13,$D185))</f>
        <v/>
      </c>
      <c r="G185" s="17" t="str">
        <f aca="false">IF(OR($B185="",$C185=""),"",$B185*1000000/12/$C185)</f>
        <v/>
      </c>
      <c r="H185" s="18" t="str">
        <f aca="false">IF(OR($B185="",$C185=""),"",$G185/$F185)</f>
        <v/>
      </c>
      <c r="I185" s="19" t="str">
        <f aca="false">IF(OR($B185="",$C185=""),"",$C185*$H185)</f>
        <v/>
      </c>
      <c r="J185" s="19" t="str">
        <f aca="false">IF(OR($B185="",$C185=""),"",Assumptions!$C$24*($H185*(1-$H185)+$H185*(1+Assumptions!$C$9)*(1-$H185*(1+Assumptions!$C$9)))/($H185*Assumptions!$C$9)^2)</f>
        <v/>
      </c>
      <c r="K185" s="19" t="str">
        <f aca="false">IF(OR($B185="",$C185=""),"",$C185/Assumptions!$C$14*Assumptions!$C$11)</f>
        <v/>
      </c>
      <c r="L185" s="20" t="str">
        <f aca="false">IF(OR($B185="",$C185=""),"",$J185*Assumptions!$C$10/$K185)</f>
        <v/>
      </c>
      <c r="M185" s="21" t="str">
        <f aca="false">IF(OR($B185="",$C185=""),"",MIN(Assumptions!$C$20,52/MAX($L185,Assumptions!$C$12)))</f>
        <v/>
      </c>
      <c r="N185" s="22" t="str">
        <f aca="false">IF(OR($B185="",$C185=""),"",SQRT(Assumptions!$C$24)*SQRT(2*$H185*(1-$H185)/($K185*4/Assumptions!$C$10))/$H185)</f>
        <v/>
      </c>
      <c r="O185" s="23" t="str">
        <f aca="false">IF(OR($B185="",$C185=""),"",IF(AND($L185&lt;=Assumptions!$C$16,$B185&gt;=Assumptions!$C$17),"Tier 1",IF(AND($L185&lt;=Assumptions!$C$18,$B185&gt;=Assumptions!$C$19),"Tier 2","Tier 3")))</f>
        <v/>
      </c>
      <c r="P185" s="24" t="str">
        <f aca="false">IF(OR($B185="",$C185=""),"",IF($O185="Tier 1","Pursue — offer trial; plan 2-week tests",IF($O185="Tier 2","Qualify — trial only on top-traffic pages, bold tests (≥10% lift)","Don't trial A/B — nurture or sell non-testing services")))</f>
        <v/>
      </c>
    </row>
    <row r="186" customFormat="false" ht="15" hidden="false" customHeight="false" outlineLevel="0" collapsed="false">
      <c r="A186" s="13"/>
      <c r="B186" s="14"/>
      <c r="C186" s="15"/>
      <c r="D186" s="14"/>
      <c r="E186" s="13"/>
      <c r="F186" s="16" t="str">
        <f aca="false">IF(OR($B186="",$C186=""),"",IF($D186="",Assumptions!$C$13,$D186))</f>
        <v/>
      </c>
      <c r="G186" s="17" t="str">
        <f aca="false">IF(OR($B186="",$C186=""),"",$B186*1000000/12/$C186)</f>
        <v/>
      </c>
      <c r="H186" s="18" t="str">
        <f aca="false">IF(OR($B186="",$C186=""),"",$G186/$F186)</f>
        <v/>
      </c>
      <c r="I186" s="19" t="str">
        <f aca="false">IF(OR($B186="",$C186=""),"",$C186*$H186)</f>
        <v/>
      </c>
      <c r="J186" s="19" t="str">
        <f aca="false">IF(OR($B186="",$C186=""),"",Assumptions!$C$24*($H186*(1-$H186)+$H186*(1+Assumptions!$C$9)*(1-$H186*(1+Assumptions!$C$9)))/($H186*Assumptions!$C$9)^2)</f>
        <v/>
      </c>
      <c r="K186" s="19" t="str">
        <f aca="false">IF(OR($B186="",$C186=""),"",$C186/Assumptions!$C$14*Assumptions!$C$11)</f>
        <v/>
      </c>
      <c r="L186" s="20" t="str">
        <f aca="false">IF(OR($B186="",$C186=""),"",$J186*Assumptions!$C$10/$K186)</f>
        <v/>
      </c>
      <c r="M186" s="21" t="str">
        <f aca="false">IF(OR($B186="",$C186=""),"",MIN(Assumptions!$C$20,52/MAX($L186,Assumptions!$C$12)))</f>
        <v/>
      </c>
      <c r="N186" s="22" t="str">
        <f aca="false">IF(OR($B186="",$C186=""),"",SQRT(Assumptions!$C$24)*SQRT(2*$H186*(1-$H186)/($K186*4/Assumptions!$C$10))/$H186)</f>
        <v/>
      </c>
      <c r="O186" s="23" t="str">
        <f aca="false">IF(OR($B186="",$C186=""),"",IF(AND($L186&lt;=Assumptions!$C$16,$B186&gt;=Assumptions!$C$17),"Tier 1",IF(AND($L186&lt;=Assumptions!$C$18,$B186&gt;=Assumptions!$C$19),"Tier 2","Tier 3")))</f>
        <v/>
      </c>
      <c r="P186" s="24" t="str">
        <f aca="false">IF(OR($B186="",$C186=""),"",IF($O186="Tier 1","Pursue — offer trial; plan 2-week tests",IF($O186="Tier 2","Qualify — trial only on top-traffic pages, bold tests (≥10% lift)","Don't trial A/B — nurture or sell non-testing services")))</f>
        <v/>
      </c>
    </row>
    <row r="187" customFormat="false" ht="15" hidden="false" customHeight="false" outlineLevel="0" collapsed="false">
      <c r="A187" s="13"/>
      <c r="B187" s="14"/>
      <c r="C187" s="15"/>
      <c r="D187" s="14"/>
      <c r="E187" s="13"/>
      <c r="F187" s="16" t="str">
        <f aca="false">IF(OR($B187="",$C187=""),"",IF($D187="",Assumptions!$C$13,$D187))</f>
        <v/>
      </c>
      <c r="G187" s="17" t="str">
        <f aca="false">IF(OR($B187="",$C187=""),"",$B187*1000000/12/$C187)</f>
        <v/>
      </c>
      <c r="H187" s="18" t="str">
        <f aca="false">IF(OR($B187="",$C187=""),"",$G187/$F187)</f>
        <v/>
      </c>
      <c r="I187" s="19" t="str">
        <f aca="false">IF(OR($B187="",$C187=""),"",$C187*$H187)</f>
        <v/>
      </c>
      <c r="J187" s="19" t="str">
        <f aca="false">IF(OR($B187="",$C187=""),"",Assumptions!$C$24*($H187*(1-$H187)+$H187*(1+Assumptions!$C$9)*(1-$H187*(1+Assumptions!$C$9)))/($H187*Assumptions!$C$9)^2)</f>
        <v/>
      </c>
      <c r="K187" s="19" t="str">
        <f aca="false">IF(OR($B187="",$C187=""),"",$C187/Assumptions!$C$14*Assumptions!$C$11)</f>
        <v/>
      </c>
      <c r="L187" s="20" t="str">
        <f aca="false">IF(OR($B187="",$C187=""),"",$J187*Assumptions!$C$10/$K187)</f>
        <v/>
      </c>
      <c r="M187" s="21" t="str">
        <f aca="false">IF(OR($B187="",$C187=""),"",MIN(Assumptions!$C$20,52/MAX($L187,Assumptions!$C$12)))</f>
        <v/>
      </c>
      <c r="N187" s="22" t="str">
        <f aca="false">IF(OR($B187="",$C187=""),"",SQRT(Assumptions!$C$24)*SQRT(2*$H187*(1-$H187)/($K187*4/Assumptions!$C$10))/$H187)</f>
        <v/>
      </c>
      <c r="O187" s="23" t="str">
        <f aca="false">IF(OR($B187="",$C187=""),"",IF(AND($L187&lt;=Assumptions!$C$16,$B187&gt;=Assumptions!$C$17),"Tier 1",IF(AND($L187&lt;=Assumptions!$C$18,$B187&gt;=Assumptions!$C$19),"Tier 2","Tier 3")))</f>
        <v/>
      </c>
      <c r="P187" s="24" t="str">
        <f aca="false">IF(OR($B187="",$C187=""),"",IF($O187="Tier 1","Pursue — offer trial; plan 2-week tests",IF($O187="Tier 2","Qualify — trial only on top-traffic pages, bold tests (≥10% lift)","Don't trial A/B — nurture or sell non-testing services")))</f>
        <v/>
      </c>
    </row>
    <row r="188" customFormat="false" ht="15" hidden="false" customHeight="false" outlineLevel="0" collapsed="false">
      <c r="A188" s="13"/>
      <c r="B188" s="14"/>
      <c r="C188" s="15"/>
      <c r="D188" s="14"/>
      <c r="E188" s="13"/>
      <c r="F188" s="16" t="str">
        <f aca="false">IF(OR($B188="",$C188=""),"",IF($D188="",Assumptions!$C$13,$D188))</f>
        <v/>
      </c>
      <c r="G188" s="17" t="str">
        <f aca="false">IF(OR($B188="",$C188=""),"",$B188*1000000/12/$C188)</f>
        <v/>
      </c>
      <c r="H188" s="18" t="str">
        <f aca="false">IF(OR($B188="",$C188=""),"",$G188/$F188)</f>
        <v/>
      </c>
      <c r="I188" s="19" t="str">
        <f aca="false">IF(OR($B188="",$C188=""),"",$C188*$H188)</f>
        <v/>
      </c>
      <c r="J188" s="19" t="str">
        <f aca="false">IF(OR($B188="",$C188=""),"",Assumptions!$C$24*($H188*(1-$H188)+$H188*(1+Assumptions!$C$9)*(1-$H188*(1+Assumptions!$C$9)))/($H188*Assumptions!$C$9)^2)</f>
        <v/>
      </c>
      <c r="K188" s="19" t="str">
        <f aca="false">IF(OR($B188="",$C188=""),"",$C188/Assumptions!$C$14*Assumptions!$C$11)</f>
        <v/>
      </c>
      <c r="L188" s="20" t="str">
        <f aca="false">IF(OR($B188="",$C188=""),"",$J188*Assumptions!$C$10/$K188)</f>
        <v/>
      </c>
      <c r="M188" s="21" t="str">
        <f aca="false">IF(OR($B188="",$C188=""),"",MIN(Assumptions!$C$20,52/MAX($L188,Assumptions!$C$12)))</f>
        <v/>
      </c>
      <c r="N188" s="22" t="str">
        <f aca="false">IF(OR($B188="",$C188=""),"",SQRT(Assumptions!$C$24)*SQRT(2*$H188*(1-$H188)/($K188*4/Assumptions!$C$10))/$H188)</f>
        <v/>
      </c>
      <c r="O188" s="23" t="str">
        <f aca="false">IF(OR($B188="",$C188=""),"",IF(AND($L188&lt;=Assumptions!$C$16,$B188&gt;=Assumptions!$C$17),"Tier 1",IF(AND($L188&lt;=Assumptions!$C$18,$B188&gt;=Assumptions!$C$19),"Tier 2","Tier 3")))</f>
        <v/>
      </c>
      <c r="P188" s="24" t="str">
        <f aca="false">IF(OR($B188="",$C188=""),"",IF($O188="Tier 1","Pursue — offer trial; plan 2-week tests",IF($O188="Tier 2","Qualify — trial only on top-traffic pages, bold tests (≥10% lift)","Don't trial A/B — nurture or sell non-testing services")))</f>
        <v/>
      </c>
    </row>
    <row r="189" customFormat="false" ht="15" hidden="false" customHeight="false" outlineLevel="0" collapsed="false">
      <c r="A189" s="13"/>
      <c r="B189" s="14"/>
      <c r="C189" s="15"/>
      <c r="D189" s="14"/>
      <c r="E189" s="13"/>
      <c r="F189" s="16" t="str">
        <f aca="false">IF(OR($B189="",$C189=""),"",IF($D189="",Assumptions!$C$13,$D189))</f>
        <v/>
      </c>
      <c r="G189" s="17" t="str">
        <f aca="false">IF(OR($B189="",$C189=""),"",$B189*1000000/12/$C189)</f>
        <v/>
      </c>
      <c r="H189" s="18" t="str">
        <f aca="false">IF(OR($B189="",$C189=""),"",$G189/$F189)</f>
        <v/>
      </c>
      <c r="I189" s="19" t="str">
        <f aca="false">IF(OR($B189="",$C189=""),"",$C189*$H189)</f>
        <v/>
      </c>
      <c r="J189" s="19" t="str">
        <f aca="false">IF(OR($B189="",$C189=""),"",Assumptions!$C$24*($H189*(1-$H189)+$H189*(1+Assumptions!$C$9)*(1-$H189*(1+Assumptions!$C$9)))/($H189*Assumptions!$C$9)^2)</f>
        <v/>
      </c>
      <c r="K189" s="19" t="str">
        <f aca="false">IF(OR($B189="",$C189=""),"",$C189/Assumptions!$C$14*Assumptions!$C$11)</f>
        <v/>
      </c>
      <c r="L189" s="20" t="str">
        <f aca="false">IF(OR($B189="",$C189=""),"",$J189*Assumptions!$C$10/$K189)</f>
        <v/>
      </c>
      <c r="M189" s="21" t="str">
        <f aca="false">IF(OR($B189="",$C189=""),"",MIN(Assumptions!$C$20,52/MAX($L189,Assumptions!$C$12)))</f>
        <v/>
      </c>
      <c r="N189" s="22" t="str">
        <f aca="false">IF(OR($B189="",$C189=""),"",SQRT(Assumptions!$C$24)*SQRT(2*$H189*(1-$H189)/($K189*4/Assumptions!$C$10))/$H189)</f>
        <v/>
      </c>
      <c r="O189" s="23" t="str">
        <f aca="false">IF(OR($B189="",$C189=""),"",IF(AND($L189&lt;=Assumptions!$C$16,$B189&gt;=Assumptions!$C$17),"Tier 1",IF(AND($L189&lt;=Assumptions!$C$18,$B189&gt;=Assumptions!$C$19),"Tier 2","Tier 3")))</f>
        <v/>
      </c>
      <c r="P189" s="24" t="str">
        <f aca="false">IF(OR($B189="",$C189=""),"",IF($O189="Tier 1","Pursue — offer trial; plan 2-week tests",IF($O189="Tier 2","Qualify — trial only on top-traffic pages, bold tests (≥10% lift)","Don't trial A/B — nurture or sell non-testing services")))</f>
        <v/>
      </c>
    </row>
    <row r="190" customFormat="false" ht="15" hidden="false" customHeight="false" outlineLevel="0" collapsed="false">
      <c r="A190" s="13"/>
      <c r="B190" s="14"/>
      <c r="C190" s="15"/>
      <c r="D190" s="14"/>
      <c r="E190" s="13"/>
      <c r="F190" s="16" t="str">
        <f aca="false">IF(OR($B190="",$C190=""),"",IF($D190="",Assumptions!$C$13,$D190))</f>
        <v/>
      </c>
      <c r="G190" s="17" t="str">
        <f aca="false">IF(OR($B190="",$C190=""),"",$B190*1000000/12/$C190)</f>
        <v/>
      </c>
      <c r="H190" s="18" t="str">
        <f aca="false">IF(OR($B190="",$C190=""),"",$G190/$F190)</f>
        <v/>
      </c>
      <c r="I190" s="19" t="str">
        <f aca="false">IF(OR($B190="",$C190=""),"",$C190*$H190)</f>
        <v/>
      </c>
      <c r="J190" s="19" t="str">
        <f aca="false">IF(OR($B190="",$C190=""),"",Assumptions!$C$24*($H190*(1-$H190)+$H190*(1+Assumptions!$C$9)*(1-$H190*(1+Assumptions!$C$9)))/($H190*Assumptions!$C$9)^2)</f>
        <v/>
      </c>
      <c r="K190" s="19" t="str">
        <f aca="false">IF(OR($B190="",$C190=""),"",$C190/Assumptions!$C$14*Assumptions!$C$11)</f>
        <v/>
      </c>
      <c r="L190" s="20" t="str">
        <f aca="false">IF(OR($B190="",$C190=""),"",$J190*Assumptions!$C$10/$K190)</f>
        <v/>
      </c>
      <c r="M190" s="21" t="str">
        <f aca="false">IF(OR($B190="",$C190=""),"",MIN(Assumptions!$C$20,52/MAX($L190,Assumptions!$C$12)))</f>
        <v/>
      </c>
      <c r="N190" s="22" t="str">
        <f aca="false">IF(OR($B190="",$C190=""),"",SQRT(Assumptions!$C$24)*SQRT(2*$H190*(1-$H190)/($K190*4/Assumptions!$C$10))/$H190)</f>
        <v/>
      </c>
      <c r="O190" s="23" t="str">
        <f aca="false">IF(OR($B190="",$C190=""),"",IF(AND($L190&lt;=Assumptions!$C$16,$B190&gt;=Assumptions!$C$17),"Tier 1",IF(AND($L190&lt;=Assumptions!$C$18,$B190&gt;=Assumptions!$C$19),"Tier 2","Tier 3")))</f>
        <v/>
      </c>
      <c r="P190" s="24" t="str">
        <f aca="false">IF(OR($B190="",$C190=""),"",IF($O190="Tier 1","Pursue — offer trial; plan 2-week tests",IF($O190="Tier 2","Qualify — trial only on top-traffic pages, bold tests (≥10% lift)","Don't trial A/B — nurture or sell non-testing services")))</f>
        <v/>
      </c>
    </row>
    <row r="191" customFormat="false" ht="15" hidden="false" customHeight="false" outlineLevel="0" collapsed="false">
      <c r="A191" s="13"/>
      <c r="B191" s="14"/>
      <c r="C191" s="15"/>
      <c r="D191" s="14"/>
      <c r="E191" s="13"/>
      <c r="F191" s="16" t="str">
        <f aca="false">IF(OR($B191="",$C191=""),"",IF($D191="",Assumptions!$C$13,$D191))</f>
        <v/>
      </c>
      <c r="G191" s="17" t="str">
        <f aca="false">IF(OR($B191="",$C191=""),"",$B191*1000000/12/$C191)</f>
        <v/>
      </c>
      <c r="H191" s="18" t="str">
        <f aca="false">IF(OR($B191="",$C191=""),"",$G191/$F191)</f>
        <v/>
      </c>
      <c r="I191" s="19" t="str">
        <f aca="false">IF(OR($B191="",$C191=""),"",$C191*$H191)</f>
        <v/>
      </c>
      <c r="J191" s="19" t="str">
        <f aca="false">IF(OR($B191="",$C191=""),"",Assumptions!$C$24*($H191*(1-$H191)+$H191*(1+Assumptions!$C$9)*(1-$H191*(1+Assumptions!$C$9)))/($H191*Assumptions!$C$9)^2)</f>
        <v/>
      </c>
      <c r="K191" s="19" t="str">
        <f aca="false">IF(OR($B191="",$C191=""),"",$C191/Assumptions!$C$14*Assumptions!$C$11)</f>
        <v/>
      </c>
      <c r="L191" s="20" t="str">
        <f aca="false">IF(OR($B191="",$C191=""),"",$J191*Assumptions!$C$10/$K191)</f>
        <v/>
      </c>
      <c r="M191" s="21" t="str">
        <f aca="false">IF(OR($B191="",$C191=""),"",MIN(Assumptions!$C$20,52/MAX($L191,Assumptions!$C$12)))</f>
        <v/>
      </c>
      <c r="N191" s="22" t="str">
        <f aca="false">IF(OR($B191="",$C191=""),"",SQRT(Assumptions!$C$24)*SQRT(2*$H191*(1-$H191)/($K191*4/Assumptions!$C$10))/$H191)</f>
        <v/>
      </c>
      <c r="O191" s="23" t="str">
        <f aca="false">IF(OR($B191="",$C191=""),"",IF(AND($L191&lt;=Assumptions!$C$16,$B191&gt;=Assumptions!$C$17),"Tier 1",IF(AND($L191&lt;=Assumptions!$C$18,$B191&gt;=Assumptions!$C$19),"Tier 2","Tier 3")))</f>
        <v/>
      </c>
      <c r="P191" s="24" t="str">
        <f aca="false">IF(OR($B191="",$C191=""),"",IF($O191="Tier 1","Pursue — offer trial; plan 2-week tests",IF($O191="Tier 2","Qualify — trial only on top-traffic pages, bold tests (≥10% lift)","Don't trial A/B — nurture or sell non-testing services")))</f>
        <v/>
      </c>
    </row>
    <row r="192" customFormat="false" ht="15" hidden="false" customHeight="false" outlineLevel="0" collapsed="false">
      <c r="A192" s="13"/>
      <c r="B192" s="14"/>
      <c r="C192" s="15"/>
      <c r="D192" s="14"/>
      <c r="E192" s="13"/>
      <c r="F192" s="16" t="str">
        <f aca="false">IF(OR($B192="",$C192=""),"",IF($D192="",Assumptions!$C$13,$D192))</f>
        <v/>
      </c>
      <c r="G192" s="17" t="str">
        <f aca="false">IF(OR($B192="",$C192=""),"",$B192*1000000/12/$C192)</f>
        <v/>
      </c>
      <c r="H192" s="18" t="str">
        <f aca="false">IF(OR($B192="",$C192=""),"",$G192/$F192)</f>
        <v/>
      </c>
      <c r="I192" s="19" t="str">
        <f aca="false">IF(OR($B192="",$C192=""),"",$C192*$H192)</f>
        <v/>
      </c>
      <c r="J192" s="19" t="str">
        <f aca="false">IF(OR($B192="",$C192=""),"",Assumptions!$C$24*($H192*(1-$H192)+$H192*(1+Assumptions!$C$9)*(1-$H192*(1+Assumptions!$C$9)))/($H192*Assumptions!$C$9)^2)</f>
        <v/>
      </c>
      <c r="K192" s="19" t="str">
        <f aca="false">IF(OR($B192="",$C192=""),"",$C192/Assumptions!$C$14*Assumptions!$C$11)</f>
        <v/>
      </c>
      <c r="L192" s="20" t="str">
        <f aca="false">IF(OR($B192="",$C192=""),"",$J192*Assumptions!$C$10/$K192)</f>
        <v/>
      </c>
      <c r="M192" s="21" t="str">
        <f aca="false">IF(OR($B192="",$C192=""),"",MIN(Assumptions!$C$20,52/MAX($L192,Assumptions!$C$12)))</f>
        <v/>
      </c>
      <c r="N192" s="22" t="str">
        <f aca="false">IF(OR($B192="",$C192=""),"",SQRT(Assumptions!$C$24)*SQRT(2*$H192*(1-$H192)/($K192*4/Assumptions!$C$10))/$H192)</f>
        <v/>
      </c>
      <c r="O192" s="23" t="str">
        <f aca="false">IF(OR($B192="",$C192=""),"",IF(AND($L192&lt;=Assumptions!$C$16,$B192&gt;=Assumptions!$C$17),"Tier 1",IF(AND($L192&lt;=Assumptions!$C$18,$B192&gt;=Assumptions!$C$19),"Tier 2","Tier 3")))</f>
        <v/>
      </c>
      <c r="P192" s="24" t="str">
        <f aca="false">IF(OR($B192="",$C192=""),"",IF($O192="Tier 1","Pursue — offer trial; plan 2-week tests",IF($O192="Tier 2","Qualify — trial only on top-traffic pages, bold tests (≥10% lift)","Don't trial A/B — nurture or sell non-testing services")))</f>
        <v/>
      </c>
    </row>
    <row r="193" customFormat="false" ht="15" hidden="false" customHeight="false" outlineLevel="0" collapsed="false">
      <c r="A193" s="13"/>
      <c r="B193" s="14"/>
      <c r="C193" s="15"/>
      <c r="D193" s="14"/>
      <c r="E193" s="13"/>
      <c r="F193" s="16" t="str">
        <f aca="false">IF(OR($B193="",$C193=""),"",IF($D193="",Assumptions!$C$13,$D193))</f>
        <v/>
      </c>
      <c r="G193" s="17" t="str">
        <f aca="false">IF(OR($B193="",$C193=""),"",$B193*1000000/12/$C193)</f>
        <v/>
      </c>
      <c r="H193" s="18" t="str">
        <f aca="false">IF(OR($B193="",$C193=""),"",$G193/$F193)</f>
        <v/>
      </c>
      <c r="I193" s="19" t="str">
        <f aca="false">IF(OR($B193="",$C193=""),"",$C193*$H193)</f>
        <v/>
      </c>
      <c r="J193" s="19" t="str">
        <f aca="false">IF(OR($B193="",$C193=""),"",Assumptions!$C$24*($H193*(1-$H193)+$H193*(1+Assumptions!$C$9)*(1-$H193*(1+Assumptions!$C$9)))/($H193*Assumptions!$C$9)^2)</f>
        <v/>
      </c>
      <c r="K193" s="19" t="str">
        <f aca="false">IF(OR($B193="",$C193=""),"",$C193/Assumptions!$C$14*Assumptions!$C$11)</f>
        <v/>
      </c>
      <c r="L193" s="20" t="str">
        <f aca="false">IF(OR($B193="",$C193=""),"",$J193*Assumptions!$C$10/$K193)</f>
        <v/>
      </c>
      <c r="M193" s="21" t="str">
        <f aca="false">IF(OR($B193="",$C193=""),"",MIN(Assumptions!$C$20,52/MAX($L193,Assumptions!$C$12)))</f>
        <v/>
      </c>
      <c r="N193" s="22" t="str">
        <f aca="false">IF(OR($B193="",$C193=""),"",SQRT(Assumptions!$C$24)*SQRT(2*$H193*(1-$H193)/($K193*4/Assumptions!$C$10))/$H193)</f>
        <v/>
      </c>
      <c r="O193" s="23" t="str">
        <f aca="false">IF(OR($B193="",$C193=""),"",IF(AND($L193&lt;=Assumptions!$C$16,$B193&gt;=Assumptions!$C$17),"Tier 1",IF(AND($L193&lt;=Assumptions!$C$18,$B193&gt;=Assumptions!$C$19),"Tier 2","Tier 3")))</f>
        <v/>
      </c>
      <c r="P193" s="24" t="str">
        <f aca="false">IF(OR($B193="",$C193=""),"",IF($O193="Tier 1","Pursue — offer trial; plan 2-week tests",IF($O193="Tier 2","Qualify — trial only on top-traffic pages, bold tests (≥10% lift)","Don't trial A/B — nurture or sell non-testing services")))</f>
        <v/>
      </c>
    </row>
    <row r="194" customFormat="false" ht="15" hidden="false" customHeight="false" outlineLevel="0" collapsed="false">
      <c r="A194" s="13"/>
      <c r="B194" s="14"/>
      <c r="C194" s="15"/>
      <c r="D194" s="14"/>
      <c r="E194" s="13"/>
      <c r="F194" s="16" t="str">
        <f aca="false">IF(OR($B194="",$C194=""),"",IF($D194="",Assumptions!$C$13,$D194))</f>
        <v/>
      </c>
      <c r="G194" s="17" t="str">
        <f aca="false">IF(OR($B194="",$C194=""),"",$B194*1000000/12/$C194)</f>
        <v/>
      </c>
      <c r="H194" s="18" t="str">
        <f aca="false">IF(OR($B194="",$C194=""),"",$G194/$F194)</f>
        <v/>
      </c>
      <c r="I194" s="19" t="str">
        <f aca="false">IF(OR($B194="",$C194=""),"",$C194*$H194)</f>
        <v/>
      </c>
      <c r="J194" s="19" t="str">
        <f aca="false">IF(OR($B194="",$C194=""),"",Assumptions!$C$24*($H194*(1-$H194)+$H194*(1+Assumptions!$C$9)*(1-$H194*(1+Assumptions!$C$9)))/($H194*Assumptions!$C$9)^2)</f>
        <v/>
      </c>
      <c r="K194" s="19" t="str">
        <f aca="false">IF(OR($B194="",$C194=""),"",$C194/Assumptions!$C$14*Assumptions!$C$11)</f>
        <v/>
      </c>
      <c r="L194" s="20" t="str">
        <f aca="false">IF(OR($B194="",$C194=""),"",$J194*Assumptions!$C$10/$K194)</f>
        <v/>
      </c>
      <c r="M194" s="21" t="str">
        <f aca="false">IF(OR($B194="",$C194=""),"",MIN(Assumptions!$C$20,52/MAX($L194,Assumptions!$C$12)))</f>
        <v/>
      </c>
      <c r="N194" s="22" t="str">
        <f aca="false">IF(OR($B194="",$C194=""),"",SQRT(Assumptions!$C$24)*SQRT(2*$H194*(1-$H194)/($K194*4/Assumptions!$C$10))/$H194)</f>
        <v/>
      </c>
      <c r="O194" s="23" t="str">
        <f aca="false">IF(OR($B194="",$C194=""),"",IF(AND($L194&lt;=Assumptions!$C$16,$B194&gt;=Assumptions!$C$17),"Tier 1",IF(AND($L194&lt;=Assumptions!$C$18,$B194&gt;=Assumptions!$C$19),"Tier 2","Tier 3")))</f>
        <v/>
      </c>
      <c r="P194" s="24" t="str">
        <f aca="false">IF(OR($B194="",$C194=""),"",IF($O194="Tier 1","Pursue — offer trial; plan 2-week tests",IF($O194="Tier 2","Qualify — trial only on top-traffic pages, bold tests (≥10% lift)","Don't trial A/B — nurture or sell non-testing services")))</f>
        <v/>
      </c>
    </row>
    <row r="195" customFormat="false" ht="15" hidden="false" customHeight="false" outlineLevel="0" collapsed="false">
      <c r="A195" s="13"/>
      <c r="B195" s="14"/>
      <c r="C195" s="15"/>
      <c r="D195" s="14"/>
      <c r="E195" s="13"/>
      <c r="F195" s="16" t="str">
        <f aca="false">IF(OR($B195="",$C195=""),"",IF($D195="",Assumptions!$C$13,$D195))</f>
        <v/>
      </c>
      <c r="G195" s="17" t="str">
        <f aca="false">IF(OR($B195="",$C195=""),"",$B195*1000000/12/$C195)</f>
        <v/>
      </c>
      <c r="H195" s="18" t="str">
        <f aca="false">IF(OR($B195="",$C195=""),"",$G195/$F195)</f>
        <v/>
      </c>
      <c r="I195" s="19" t="str">
        <f aca="false">IF(OR($B195="",$C195=""),"",$C195*$H195)</f>
        <v/>
      </c>
      <c r="J195" s="19" t="str">
        <f aca="false">IF(OR($B195="",$C195=""),"",Assumptions!$C$24*($H195*(1-$H195)+$H195*(1+Assumptions!$C$9)*(1-$H195*(1+Assumptions!$C$9)))/($H195*Assumptions!$C$9)^2)</f>
        <v/>
      </c>
      <c r="K195" s="19" t="str">
        <f aca="false">IF(OR($B195="",$C195=""),"",$C195/Assumptions!$C$14*Assumptions!$C$11)</f>
        <v/>
      </c>
      <c r="L195" s="20" t="str">
        <f aca="false">IF(OR($B195="",$C195=""),"",$J195*Assumptions!$C$10/$K195)</f>
        <v/>
      </c>
      <c r="M195" s="21" t="str">
        <f aca="false">IF(OR($B195="",$C195=""),"",MIN(Assumptions!$C$20,52/MAX($L195,Assumptions!$C$12)))</f>
        <v/>
      </c>
      <c r="N195" s="22" t="str">
        <f aca="false">IF(OR($B195="",$C195=""),"",SQRT(Assumptions!$C$24)*SQRT(2*$H195*(1-$H195)/($K195*4/Assumptions!$C$10))/$H195)</f>
        <v/>
      </c>
      <c r="O195" s="23" t="str">
        <f aca="false">IF(OR($B195="",$C195=""),"",IF(AND($L195&lt;=Assumptions!$C$16,$B195&gt;=Assumptions!$C$17),"Tier 1",IF(AND($L195&lt;=Assumptions!$C$18,$B195&gt;=Assumptions!$C$19),"Tier 2","Tier 3")))</f>
        <v/>
      </c>
      <c r="P195" s="24" t="str">
        <f aca="false">IF(OR($B195="",$C195=""),"",IF($O195="Tier 1","Pursue — offer trial; plan 2-week tests",IF($O195="Tier 2","Qualify — trial only on top-traffic pages, bold tests (≥10% lift)","Don't trial A/B — nurture or sell non-testing services")))</f>
        <v/>
      </c>
    </row>
    <row r="196" customFormat="false" ht="15" hidden="false" customHeight="false" outlineLevel="0" collapsed="false">
      <c r="A196" s="13"/>
      <c r="B196" s="14"/>
      <c r="C196" s="15"/>
      <c r="D196" s="14"/>
      <c r="E196" s="13"/>
      <c r="F196" s="16" t="str">
        <f aca="false">IF(OR($B196="",$C196=""),"",IF($D196="",Assumptions!$C$13,$D196))</f>
        <v/>
      </c>
      <c r="G196" s="17" t="str">
        <f aca="false">IF(OR($B196="",$C196=""),"",$B196*1000000/12/$C196)</f>
        <v/>
      </c>
      <c r="H196" s="18" t="str">
        <f aca="false">IF(OR($B196="",$C196=""),"",$G196/$F196)</f>
        <v/>
      </c>
      <c r="I196" s="19" t="str">
        <f aca="false">IF(OR($B196="",$C196=""),"",$C196*$H196)</f>
        <v/>
      </c>
      <c r="J196" s="19" t="str">
        <f aca="false">IF(OR($B196="",$C196=""),"",Assumptions!$C$24*($H196*(1-$H196)+$H196*(1+Assumptions!$C$9)*(1-$H196*(1+Assumptions!$C$9)))/($H196*Assumptions!$C$9)^2)</f>
        <v/>
      </c>
      <c r="K196" s="19" t="str">
        <f aca="false">IF(OR($B196="",$C196=""),"",$C196/Assumptions!$C$14*Assumptions!$C$11)</f>
        <v/>
      </c>
      <c r="L196" s="20" t="str">
        <f aca="false">IF(OR($B196="",$C196=""),"",$J196*Assumptions!$C$10/$K196)</f>
        <v/>
      </c>
      <c r="M196" s="21" t="str">
        <f aca="false">IF(OR($B196="",$C196=""),"",MIN(Assumptions!$C$20,52/MAX($L196,Assumptions!$C$12)))</f>
        <v/>
      </c>
      <c r="N196" s="22" t="str">
        <f aca="false">IF(OR($B196="",$C196=""),"",SQRT(Assumptions!$C$24)*SQRT(2*$H196*(1-$H196)/($K196*4/Assumptions!$C$10))/$H196)</f>
        <v/>
      </c>
      <c r="O196" s="23" t="str">
        <f aca="false">IF(OR($B196="",$C196=""),"",IF(AND($L196&lt;=Assumptions!$C$16,$B196&gt;=Assumptions!$C$17),"Tier 1",IF(AND($L196&lt;=Assumptions!$C$18,$B196&gt;=Assumptions!$C$19),"Tier 2","Tier 3")))</f>
        <v/>
      </c>
      <c r="P196" s="24" t="str">
        <f aca="false">IF(OR($B196="",$C196=""),"",IF($O196="Tier 1","Pursue — offer trial; plan 2-week tests",IF($O196="Tier 2","Qualify — trial only on top-traffic pages, bold tests (≥10% lift)","Don't trial A/B — nurture or sell non-testing services")))</f>
        <v/>
      </c>
    </row>
    <row r="197" customFormat="false" ht="15" hidden="false" customHeight="false" outlineLevel="0" collapsed="false">
      <c r="A197" s="13"/>
      <c r="B197" s="14"/>
      <c r="C197" s="15"/>
      <c r="D197" s="14"/>
      <c r="E197" s="13"/>
      <c r="F197" s="16" t="str">
        <f aca="false">IF(OR($B197="",$C197=""),"",IF($D197="",Assumptions!$C$13,$D197))</f>
        <v/>
      </c>
      <c r="G197" s="17" t="str">
        <f aca="false">IF(OR($B197="",$C197=""),"",$B197*1000000/12/$C197)</f>
        <v/>
      </c>
      <c r="H197" s="18" t="str">
        <f aca="false">IF(OR($B197="",$C197=""),"",$G197/$F197)</f>
        <v/>
      </c>
      <c r="I197" s="19" t="str">
        <f aca="false">IF(OR($B197="",$C197=""),"",$C197*$H197)</f>
        <v/>
      </c>
      <c r="J197" s="19" t="str">
        <f aca="false">IF(OR($B197="",$C197=""),"",Assumptions!$C$24*($H197*(1-$H197)+$H197*(1+Assumptions!$C$9)*(1-$H197*(1+Assumptions!$C$9)))/($H197*Assumptions!$C$9)^2)</f>
        <v/>
      </c>
      <c r="K197" s="19" t="str">
        <f aca="false">IF(OR($B197="",$C197=""),"",$C197/Assumptions!$C$14*Assumptions!$C$11)</f>
        <v/>
      </c>
      <c r="L197" s="20" t="str">
        <f aca="false">IF(OR($B197="",$C197=""),"",$J197*Assumptions!$C$10/$K197)</f>
        <v/>
      </c>
      <c r="M197" s="21" t="str">
        <f aca="false">IF(OR($B197="",$C197=""),"",MIN(Assumptions!$C$20,52/MAX($L197,Assumptions!$C$12)))</f>
        <v/>
      </c>
      <c r="N197" s="22" t="str">
        <f aca="false">IF(OR($B197="",$C197=""),"",SQRT(Assumptions!$C$24)*SQRT(2*$H197*(1-$H197)/($K197*4/Assumptions!$C$10))/$H197)</f>
        <v/>
      </c>
      <c r="O197" s="23" t="str">
        <f aca="false">IF(OR($B197="",$C197=""),"",IF(AND($L197&lt;=Assumptions!$C$16,$B197&gt;=Assumptions!$C$17),"Tier 1",IF(AND($L197&lt;=Assumptions!$C$18,$B197&gt;=Assumptions!$C$19),"Tier 2","Tier 3")))</f>
        <v/>
      </c>
      <c r="P197" s="24" t="str">
        <f aca="false">IF(OR($B197="",$C197=""),"",IF($O197="Tier 1","Pursue — offer trial; plan 2-week tests",IF($O197="Tier 2","Qualify — trial only on top-traffic pages, bold tests (≥10% lift)","Don't trial A/B — nurture or sell non-testing services")))</f>
        <v/>
      </c>
    </row>
    <row r="198" customFormat="false" ht="15" hidden="false" customHeight="false" outlineLevel="0" collapsed="false">
      <c r="A198" s="13"/>
      <c r="B198" s="14"/>
      <c r="C198" s="15"/>
      <c r="D198" s="14"/>
      <c r="E198" s="13"/>
      <c r="F198" s="16" t="str">
        <f aca="false">IF(OR($B198="",$C198=""),"",IF($D198="",Assumptions!$C$13,$D198))</f>
        <v/>
      </c>
      <c r="G198" s="17" t="str">
        <f aca="false">IF(OR($B198="",$C198=""),"",$B198*1000000/12/$C198)</f>
        <v/>
      </c>
      <c r="H198" s="18" t="str">
        <f aca="false">IF(OR($B198="",$C198=""),"",$G198/$F198)</f>
        <v/>
      </c>
      <c r="I198" s="19" t="str">
        <f aca="false">IF(OR($B198="",$C198=""),"",$C198*$H198)</f>
        <v/>
      </c>
      <c r="J198" s="19" t="str">
        <f aca="false">IF(OR($B198="",$C198=""),"",Assumptions!$C$24*($H198*(1-$H198)+$H198*(1+Assumptions!$C$9)*(1-$H198*(1+Assumptions!$C$9)))/($H198*Assumptions!$C$9)^2)</f>
        <v/>
      </c>
      <c r="K198" s="19" t="str">
        <f aca="false">IF(OR($B198="",$C198=""),"",$C198/Assumptions!$C$14*Assumptions!$C$11)</f>
        <v/>
      </c>
      <c r="L198" s="20" t="str">
        <f aca="false">IF(OR($B198="",$C198=""),"",$J198*Assumptions!$C$10/$K198)</f>
        <v/>
      </c>
      <c r="M198" s="21" t="str">
        <f aca="false">IF(OR($B198="",$C198=""),"",MIN(Assumptions!$C$20,52/MAX($L198,Assumptions!$C$12)))</f>
        <v/>
      </c>
      <c r="N198" s="22" t="str">
        <f aca="false">IF(OR($B198="",$C198=""),"",SQRT(Assumptions!$C$24)*SQRT(2*$H198*(1-$H198)/($K198*4/Assumptions!$C$10))/$H198)</f>
        <v/>
      </c>
      <c r="O198" s="23" t="str">
        <f aca="false">IF(OR($B198="",$C198=""),"",IF(AND($L198&lt;=Assumptions!$C$16,$B198&gt;=Assumptions!$C$17),"Tier 1",IF(AND($L198&lt;=Assumptions!$C$18,$B198&gt;=Assumptions!$C$19),"Tier 2","Tier 3")))</f>
        <v/>
      </c>
      <c r="P198" s="24" t="str">
        <f aca="false">IF(OR($B198="",$C198=""),"",IF($O198="Tier 1","Pursue — offer trial; plan 2-week tests",IF($O198="Tier 2","Qualify — trial only on top-traffic pages, bold tests (≥10% lift)","Don't trial A/B — nurture or sell non-testing services")))</f>
        <v/>
      </c>
    </row>
    <row r="199" customFormat="false" ht="15" hidden="false" customHeight="false" outlineLevel="0" collapsed="false">
      <c r="A199" s="13"/>
      <c r="B199" s="14"/>
      <c r="C199" s="15"/>
      <c r="D199" s="14"/>
      <c r="E199" s="13"/>
      <c r="F199" s="16" t="str">
        <f aca="false">IF(OR($B199="",$C199=""),"",IF($D199="",Assumptions!$C$13,$D199))</f>
        <v/>
      </c>
      <c r="G199" s="17" t="str">
        <f aca="false">IF(OR($B199="",$C199=""),"",$B199*1000000/12/$C199)</f>
        <v/>
      </c>
      <c r="H199" s="18" t="str">
        <f aca="false">IF(OR($B199="",$C199=""),"",$G199/$F199)</f>
        <v/>
      </c>
      <c r="I199" s="19" t="str">
        <f aca="false">IF(OR($B199="",$C199=""),"",$C199*$H199)</f>
        <v/>
      </c>
      <c r="J199" s="19" t="str">
        <f aca="false">IF(OR($B199="",$C199=""),"",Assumptions!$C$24*($H199*(1-$H199)+$H199*(1+Assumptions!$C$9)*(1-$H199*(1+Assumptions!$C$9)))/($H199*Assumptions!$C$9)^2)</f>
        <v/>
      </c>
      <c r="K199" s="19" t="str">
        <f aca="false">IF(OR($B199="",$C199=""),"",$C199/Assumptions!$C$14*Assumptions!$C$11)</f>
        <v/>
      </c>
      <c r="L199" s="20" t="str">
        <f aca="false">IF(OR($B199="",$C199=""),"",$J199*Assumptions!$C$10/$K199)</f>
        <v/>
      </c>
      <c r="M199" s="21" t="str">
        <f aca="false">IF(OR($B199="",$C199=""),"",MIN(Assumptions!$C$20,52/MAX($L199,Assumptions!$C$12)))</f>
        <v/>
      </c>
      <c r="N199" s="22" t="str">
        <f aca="false">IF(OR($B199="",$C199=""),"",SQRT(Assumptions!$C$24)*SQRT(2*$H199*(1-$H199)/($K199*4/Assumptions!$C$10))/$H199)</f>
        <v/>
      </c>
      <c r="O199" s="23" t="str">
        <f aca="false">IF(OR($B199="",$C199=""),"",IF(AND($L199&lt;=Assumptions!$C$16,$B199&gt;=Assumptions!$C$17),"Tier 1",IF(AND($L199&lt;=Assumptions!$C$18,$B199&gt;=Assumptions!$C$19),"Tier 2","Tier 3")))</f>
        <v/>
      </c>
      <c r="P199" s="24" t="str">
        <f aca="false">IF(OR($B199="",$C199=""),"",IF($O199="Tier 1","Pursue — offer trial; plan 2-week tests",IF($O199="Tier 2","Qualify — trial only on top-traffic pages, bold tests (≥10% lift)","Don't trial A/B — nurture or sell non-testing services")))</f>
        <v/>
      </c>
    </row>
    <row r="200" customFormat="false" ht="15" hidden="false" customHeight="false" outlineLevel="0" collapsed="false">
      <c r="A200" s="13"/>
      <c r="B200" s="14"/>
      <c r="C200" s="15"/>
      <c r="D200" s="14"/>
      <c r="E200" s="13"/>
      <c r="F200" s="16" t="str">
        <f aca="false">IF(OR($B200="",$C200=""),"",IF($D200="",Assumptions!$C$13,$D200))</f>
        <v/>
      </c>
      <c r="G200" s="17" t="str">
        <f aca="false">IF(OR($B200="",$C200=""),"",$B200*1000000/12/$C200)</f>
        <v/>
      </c>
      <c r="H200" s="18" t="str">
        <f aca="false">IF(OR($B200="",$C200=""),"",$G200/$F200)</f>
        <v/>
      </c>
      <c r="I200" s="19" t="str">
        <f aca="false">IF(OR($B200="",$C200=""),"",$C200*$H200)</f>
        <v/>
      </c>
      <c r="J200" s="19" t="str">
        <f aca="false">IF(OR($B200="",$C200=""),"",Assumptions!$C$24*($H200*(1-$H200)+$H200*(1+Assumptions!$C$9)*(1-$H200*(1+Assumptions!$C$9)))/($H200*Assumptions!$C$9)^2)</f>
        <v/>
      </c>
      <c r="K200" s="19" t="str">
        <f aca="false">IF(OR($B200="",$C200=""),"",$C200/Assumptions!$C$14*Assumptions!$C$11)</f>
        <v/>
      </c>
      <c r="L200" s="20" t="str">
        <f aca="false">IF(OR($B200="",$C200=""),"",$J200*Assumptions!$C$10/$K200)</f>
        <v/>
      </c>
      <c r="M200" s="21" t="str">
        <f aca="false">IF(OR($B200="",$C200=""),"",MIN(Assumptions!$C$20,52/MAX($L200,Assumptions!$C$12)))</f>
        <v/>
      </c>
      <c r="N200" s="22" t="str">
        <f aca="false">IF(OR($B200="",$C200=""),"",SQRT(Assumptions!$C$24)*SQRT(2*$H200*(1-$H200)/($K200*4/Assumptions!$C$10))/$H200)</f>
        <v/>
      </c>
      <c r="O200" s="23" t="str">
        <f aca="false">IF(OR($B200="",$C200=""),"",IF(AND($L200&lt;=Assumptions!$C$16,$B200&gt;=Assumptions!$C$17),"Tier 1",IF(AND($L200&lt;=Assumptions!$C$18,$B200&gt;=Assumptions!$C$19),"Tier 2","Tier 3")))</f>
        <v/>
      </c>
      <c r="P200" s="24" t="str">
        <f aca="false">IF(OR($B200="",$C200=""),"",IF($O200="Tier 1","Pursue — offer trial; plan 2-week tests",IF($O200="Tier 2","Qualify — trial only on top-traffic pages, bold tests (≥10% lift)","Don't trial A/B — nurture or sell non-testing services")))</f>
        <v/>
      </c>
    </row>
    <row r="201" customFormat="false" ht="15" hidden="false" customHeight="false" outlineLevel="0" collapsed="false">
      <c r="A201" s="13"/>
      <c r="B201" s="14"/>
      <c r="C201" s="15"/>
      <c r="D201" s="14"/>
      <c r="E201" s="13"/>
      <c r="F201" s="16" t="str">
        <f aca="false">IF(OR($B201="",$C201=""),"",IF($D201="",Assumptions!$C$13,$D201))</f>
        <v/>
      </c>
      <c r="G201" s="17" t="str">
        <f aca="false">IF(OR($B201="",$C201=""),"",$B201*1000000/12/$C201)</f>
        <v/>
      </c>
      <c r="H201" s="18" t="str">
        <f aca="false">IF(OR($B201="",$C201=""),"",$G201/$F201)</f>
        <v/>
      </c>
      <c r="I201" s="19" t="str">
        <f aca="false">IF(OR($B201="",$C201=""),"",$C201*$H201)</f>
        <v/>
      </c>
      <c r="J201" s="19" t="str">
        <f aca="false">IF(OR($B201="",$C201=""),"",Assumptions!$C$24*($H201*(1-$H201)+$H201*(1+Assumptions!$C$9)*(1-$H201*(1+Assumptions!$C$9)))/($H201*Assumptions!$C$9)^2)</f>
        <v/>
      </c>
      <c r="K201" s="19" t="str">
        <f aca="false">IF(OR($B201="",$C201=""),"",$C201/Assumptions!$C$14*Assumptions!$C$11)</f>
        <v/>
      </c>
      <c r="L201" s="20" t="str">
        <f aca="false">IF(OR($B201="",$C201=""),"",$J201*Assumptions!$C$10/$K201)</f>
        <v/>
      </c>
      <c r="M201" s="21" t="str">
        <f aca="false">IF(OR($B201="",$C201=""),"",MIN(Assumptions!$C$20,52/MAX($L201,Assumptions!$C$12)))</f>
        <v/>
      </c>
      <c r="N201" s="22" t="str">
        <f aca="false">IF(OR($B201="",$C201=""),"",SQRT(Assumptions!$C$24)*SQRT(2*$H201*(1-$H201)/($K201*4/Assumptions!$C$10))/$H201)</f>
        <v/>
      </c>
      <c r="O201" s="23" t="str">
        <f aca="false">IF(OR($B201="",$C201=""),"",IF(AND($L201&lt;=Assumptions!$C$16,$B201&gt;=Assumptions!$C$17),"Tier 1",IF(AND($L201&lt;=Assumptions!$C$18,$B201&gt;=Assumptions!$C$19),"Tier 2","Tier 3")))</f>
        <v/>
      </c>
      <c r="P201" s="24" t="str">
        <f aca="false">IF(OR($B201="",$C201=""),"",IF($O201="Tier 1","Pursue — offer trial; plan 2-week tests",IF($O201="Tier 2","Qualify — trial only on top-traffic pages, bold tests (≥10% lift)","Don't trial A/B — nurture or sell non-testing services")))</f>
        <v/>
      </c>
    </row>
    <row r="202" customFormat="false" ht="15" hidden="false" customHeight="false" outlineLevel="0" collapsed="false">
      <c r="A202" s="13"/>
      <c r="B202" s="14"/>
      <c r="C202" s="15"/>
      <c r="D202" s="14"/>
      <c r="E202" s="13"/>
      <c r="F202" s="16" t="str">
        <f aca="false">IF(OR($B202="",$C202=""),"",IF($D202="",Assumptions!$C$13,$D202))</f>
        <v/>
      </c>
      <c r="G202" s="17" t="str">
        <f aca="false">IF(OR($B202="",$C202=""),"",$B202*1000000/12/$C202)</f>
        <v/>
      </c>
      <c r="H202" s="18" t="str">
        <f aca="false">IF(OR($B202="",$C202=""),"",$G202/$F202)</f>
        <v/>
      </c>
      <c r="I202" s="19" t="str">
        <f aca="false">IF(OR($B202="",$C202=""),"",$C202*$H202)</f>
        <v/>
      </c>
      <c r="J202" s="19" t="str">
        <f aca="false">IF(OR($B202="",$C202=""),"",Assumptions!$C$24*($H202*(1-$H202)+$H202*(1+Assumptions!$C$9)*(1-$H202*(1+Assumptions!$C$9)))/($H202*Assumptions!$C$9)^2)</f>
        <v/>
      </c>
      <c r="K202" s="19" t="str">
        <f aca="false">IF(OR($B202="",$C202=""),"",$C202/Assumptions!$C$14*Assumptions!$C$11)</f>
        <v/>
      </c>
      <c r="L202" s="20" t="str">
        <f aca="false">IF(OR($B202="",$C202=""),"",$J202*Assumptions!$C$10/$K202)</f>
        <v/>
      </c>
      <c r="M202" s="21" t="str">
        <f aca="false">IF(OR($B202="",$C202=""),"",MIN(Assumptions!$C$20,52/MAX($L202,Assumptions!$C$12)))</f>
        <v/>
      </c>
      <c r="N202" s="22" t="str">
        <f aca="false">IF(OR($B202="",$C202=""),"",SQRT(Assumptions!$C$24)*SQRT(2*$H202*(1-$H202)/($K202*4/Assumptions!$C$10))/$H202)</f>
        <v/>
      </c>
      <c r="O202" s="23" t="str">
        <f aca="false">IF(OR($B202="",$C202=""),"",IF(AND($L202&lt;=Assumptions!$C$16,$B202&gt;=Assumptions!$C$17),"Tier 1",IF(AND($L202&lt;=Assumptions!$C$18,$B202&gt;=Assumptions!$C$19),"Tier 2","Tier 3")))</f>
        <v/>
      </c>
      <c r="P202" s="24" t="str">
        <f aca="false">IF(OR($B202="",$C202=""),"",IF($O202="Tier 1","Pursue — offer trial; plan 2-week tests",IF($O202="Tier 2","Qualify — trial only on top-traffic pages, bold tests (≥10% lift)","Don't trial A/B — nurture or sell non-testing services")))</f>
        <v/>
      </c>
    </row>
    <row r="203" customFormat="false" ht="15" hidden="false" customHeight="false" outlineLevel="0" collapsed="false">
      <c r="A203" s="13"/>
      <c r="B203" s="14"/>
      <c r="C203" s="15"/>
      <c r="D203" s="14"/>
      <c r="E203" s="13"/>
      <c r="F203" s="16" t="str">
        <f aca="false">IF(OR($B203="",$C203=""),"",IF($D203="",Assumptions!$C$13,$D203))</f>
        <v/>
      </c>
      <c r="G203" s="17" t="str">
        <f aca="false">IF(OR($B203="",$C203=""),"",$B203*1000000/12/$C203)</f>
        <v/>
      </c>
      <c r="H203" s="18" t="str">
        <f aca="false">IF(OR($B203="",$C203=""),"",$G203/$F203)</f>
        <v/>
      </c>
      <c r="I203" s="19" t="str">
        <f aca="false">IF(OR($B203="",$C203=""),"",$C203*$H203)</f>
        <v/>
      </c>
      <c r="J203" s="19" t="str">
        <f aca="false">IF(OR($B203="",$C203=""),"",Assumptions!$C$24*($H203*(1-$H203)+$H203*(1+Assumptions!$C$9)*(1-$H203*(1+Assumptions!$C$9)))/($H203*Assumptions!$C$9)^2)</f>
        <v/>
      </c>
      <c r="K203" s="19" t="str">
        <f aca="false">IF(OR($B203="",$C203=""),"",$C203/Assumptions!$C$14*Assumptions!$C$11)</f>
        <v/>
      </c>
      <c r="L203" s="20" t="str">
        <f aca="false">IF(OR($B203="",$C203=""),"",$J203*Assumptions!$C$10/$K203)</f>
        <v/>
      </c>
      <c r="M203" s="21" t="str">
        <f aca="false">IF(OR($B203="",$C203=""),"",MIN(Assumptions!$C$20,52/MAX($L203,Assumptions!$C$12)))</f>
        <v/>
      </c>
      <c r="N203" s="22" t="str">
        <f aca="false">IF(OR($B203="",$C203=""),"",SQRT(Assumptions!$C$24)*SQRT(2*$H203*(1-$H203)/($K203*4/Assumptions!$C$10))/$H203)</f>
        <v/>
      </c>
      <c r="O203" s="23" t="str">
        <f aca="false">IF(OR($B203="",$C203=""),"",IF(AND($L203&lt;=Assumptions!$C$16,$B203&gt;=Assumptions!$C$17),"Tier 1",IF(AND($L203&lt;=Assumptions!$C$18,$B203&gt;=Assumptions!$C$19),"Tier 2","Tier 3")))</f>
        <v/>
      </c>
      <c r="P203" s="24" t="str">
        <f aca="false">IF(OR($B203="",$C203=""),"",IF($O203="Tier 1","Pursue — offer trial; plan 2-week tests",IF($O203="Tier 2","Qualify — trial only on top-traffic pages, bold tests (≥10% lift)","Don't trial A/B — nurture or sell non-testing services")))</f>
        <v/>
      </c>
    </row>
    <row r="204" customFormat="false" ht="15" hidden="false" customHeight="false" outlineLevel="0" collapsed="false">
      <c r="A204" s="13"/>
      <c r="B204" s="14"/>
      <c r="C204" s="15"/>
      <c r="D204" s="14"/>
      <c r="E204" s="13"/>
      <c r="F204" s="16" t="str">
        <f aca="false">IF(OR($B204="",$C204=""),"",IF($D204="",Assumptions!$C$13,$D204))</f>
        <v/>
      </c>
      <c r="G204" s="17" t="str">
        <f aca="false">IF(OR($B204="",$C204=""),"",$B204*1000000/12/$C204)</f>
        <v/>
      </c>
      <c r="H204" s="18" t="str">
        <f aca="false">IF(OR($B204="",$C204=""),"",$G204/$F204)</f>
        <v/>
      </c>
      <c r="I204" s="19" t="str">
        <f aca="false">IF(OR($B204="",$C204=""),"",$C204*$H204)</f>
        <v/>
      </c>
      <c r="J204" s="19" t="str">
        <f aca="false">IF(OR($B204="",$C204=""),"",Assumptions!$C$24*($H204*(1-$H204)+$H204*(1+Assumptions!$C$9)*(1-$H204*(1+Assumptions!$C$9)))/($H204*Assumptions!$C$9)^2)</f>
        <v/>
      </c>
      <c r="K204" s="19" t="str">
        <f aca="false">IF(OR($B204="",$C204=""),"",$C204/Assumptions!$C$14*Assumptions!$C$11)</f>
        <v/>
      </c>
      <c r="L204" s="20" t="str">
        <f aca="false">IF(OR($B204="",$C204=""),"",$J204*Assumptions!$C$10/$K204)</f>
        <v/>
      </c>
      <c r="M204" s="21" t="str">
        <f aca="false">IF(OR($B204="",$C204=""),"",MIN(Assumptions!$C$20,52/MAX($L204,Assumptions!$C$12)))</f>
        <v/>
      </c>
      <c r="N204" s="22" t="str">
        <f aca="false">IF(OR($B204="",$C204=""),"",SQRT(Assumptions!$C$24)*SQRT(2*$H204*(1-$H204)/($K204*4/Assumptions!$C$10))/$H204)</f>
        <v/>
      </c>
      <c r="O204" s="23" t="str">
        <f aca="false">IF(OR($B204="",$C204=""),"",IF(AND($L204&lt;=Assumptions!$C$16,$B204&gt;=Assumptions!$C$17),"Tier 1",IF(AND($L204&lt;=Assumptions!$C$18,$B204&gt;=Assumptions!$C$19),"Tier 2","Tier 3")))</f>
        <v/>
      </c>
      <c r="P204" s="24" t="str">
        <f aca="false">IF(OR($B204="",$C204=""),"",IF($O204="Tier 1","Pursue — offer trial; plan 2-week tests",IF($O204="Tier 2","Qualify — trial only on top-traffic pages, bold tests (≥10% lift)","Don't trial A/B — nurture or sell non-testing services")))</f>
        <v/>
      </c>
    </row>
  </sheetData>
  <autoFilter ref="A4:P204"/>
  <conditionalFormatting sqref="O5:O204">
    <cfRule type="expression" priority="2" aboveAverage="0" equalAverage="0" bottom="0" percent="0" rank="0" text="" dxfId="10">
      <formula>$O5="Tier 1"</formula>
    </cfRule>
    <cfRule type="expression" priority="3" aboveAverage="0" equalAverage="0" bottom="0" percent="0" rank="0" text="" dxfId="11">
      <formula>$O5="Tier 2"</formula>
    </cfRule>
    <cfRule type="expression" priority="4" aboveAverage="0" equalAverage="0" bottom="0" percent="0" rank="0" text="" dxfId="12">
      <formula>$O5="Tier 3"</formula>
    </cfRule>
  </conditionalFormatting>
  <conditionalFormatting sqref="L5:L204">
    <cfRule type="expression" priority="5" aboveAverage="0" equalAverage="0" bottom="0" percent="0" rank="0" text="" dxfId="13">
      <formula>AND($L5&lt;&gt;"",$L5&gt;Assumptions!$C$18)</formula>
    </cfRule>
  </conditionalFormatting>
  <conditionalFormatting sqref="N5:N204">
    <cfRule type="expression" priority="6" aboveAverage="0" equalAverage="0" bottom="0" percent="0" rank="0" text="" dxfId="13">
      <formula>AND($N5&lt;&gt;"",$N5&gt;0.1)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C2A39"/>
    <pageSetUpPr fitToPage="false"/>
  </sheetPr>
  <dimension ref="B2:D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38"/>
    <col collapsed="false" customWidth="true" hidden="false" outlineLevel="0" max="3" min="3" style="0" width="14"/>
    <col collapsed="false" customWidth="true" hidden="false" outlineLevel="0" max="4" min="4" style="0" width="80"/>
  </cols>
  <sheetData>
    <row r="2" customFormat="false" ht="19.7" hidden="false" customHeight="false" outlineLevel="0" collapsed="false">
      <c r="B2" s="1" t="s">
        <v>82</v>
      </c>
    </row>
    <row r="3" customFormat="false" ht="15" hidden="false" customHeight="false" outlineLevel="0" collapsed="false">
      <c r="B3" s="2" t="s">
        <v>83</v>
      </c>
    </row>
    <row r="5" customFormat="false" ht="15" hidden="false" customHeight="false" outlineLevel="0" collapsed="false">
      <c r="B5" s="12" t="s">
        <v>84</v>
      </c>
      <c r="C5" s="12" t="s">
        <v>85</v>
      </c>
      <c r="D5" s="12" t="s">
        <v>86</v>
      </c>
    </row>
    <row r="6" customFormat="false" ht="15" hidden="false" customHeight="false" outlineLevel="0" collapsed="false">
      <c r="B6" s="3" t="s">
        <v>87</v>
      </c>
    </row>
    <row r="7" customFormat="false" ht="15" hidden="false" customHeight="false" outlineLevel="0" collapsed="false">
      <c r="B7" s="26" t="s">
        <v>88</v>
      </c>
      <c r="C7" s="32" t="n">
        <v>0.95</v>
      </c>
      <c r="D7" s="33" t="s">
        <v>89</v>
      </c>
    </row>
    <row r="8" customFormat="false" ht="15" hidden="false" customHeight="false" outlineLevel="0" collapsed="false">
      <c r="B8" s="26" t="s">
        <v>90</v>
      </c>
      <c r="C8" s="32" t="n">
        <v>0.8</v>
      </c>
      <c r="D8" s="33" t="s">
        <v>91</v>
      </c>
    </row>
    <row r="9" customFormat="false" ht="15" hidden="false" customHeight="false" outlineLevel="0" collapsed="false">
      <c r="B9" s="26" t="s">
        <v>92</v>
      </c>
      <c r="C9" s="32" t="n">
        <v>0.05</v>
      </c>
      <c r="D9" s="33" t="s">
        <v>93</v>
      </c>
    </row>
    <row r="10" customFormat="false" ht="15" hidden="false" customHeight="false" outlineLevel="0" collapsed="false">
      <c r="B10" s="26" t="s">
        <v>94</v>
      </c>
      <c r="C10" s="34" t="n">
        <v>2</v>
      </c>
      <c r="D10" s="33" t="s">
        <v>95</v>
      </c>
    </row>
    <row r="11" customFormat="false" ht="15" hidden="false" customHeight="false" outlineLevel="0" collapsed="false">
      <c r="B11" s="26" t="s">
        <v>96</v>
      </c>
      <c r="C11" s="32" t="n">
        <v>0.5</v>
      </c>
      <c r="D11" s="33" t="s">
        <v>97</v>
      </c>
    </row>
    <row r="12" customFormat="false" ht="15" hidden="false" customHeight="false" outlineLevel="0" collapsed="false">
      <c r="B12" s="26" t="s">
        <v>98</v>
      </c>
      <c r="C12" s="34" t="n">
        <v>2</v>
      </c>
      <c r="D12" s="33" t="s">
        <v>99</v>
      </c>
    </row>
    <row r="13" customFormat="false" ht="15" hidden="false" customHeight="false" outlineLevel="0" collapsed="false">
      <c r="B13" s="26" t="s">
        <v>100</v>
      </c>
      <c r="C13" s="35" t="n">
        <v>120</v>
      </c>
      <c r="D13" s="33" t="s">
        <v>101</v>
      </c>
    </row>
    <row r="14" customFormat="false" ht="15" hidden="false" customHeight="false" outlineLevel="0" collapsed="false">
      <c r="B14" s="26" t="s">
        <v>102</v>
      </c>
      <c r="C14" s="36" t="n">
        <f aca="false">52/12</f>
        <v>4.33333333333333</v>
      </c>
      <c r="D14" s="33" t="s">
        <v>103</v>
      </c>
    </row>
    <row r="15" customFormat="false" ht="15" hidden="false" customHeight="false" outlineLevel="0" collapsed="false">
      <c r="B15" s="3" t="s">
        <v>104</v>
      </c>
    </row>
    <row r="16" customFormat="false" ht="15" hidden="false" customHeight="false" outlineLevel="0" collapsed="false">
      <c r="B16" s="26" t="s">
        <v>105</v>
      </c>
      <c r="C16" s="37" t="n">
        <v>2</v>
      </c>
      <c r="D16" s="33" t="s">
        <v>106</v>
      </c>
    </row>
    <row r="17" customFormat="false" ht="15" hidden="false" customHeight="false" outlineLevel="0" collapsed="false">
      <c r="B17" s="26" t="s">
        <v>107</v>
      </c>
      <c r="C17" s="35" t="n">
        <v>200</v>
      </c>
      <c r="D17" s="33" t="s">
        <v>108</v>
      </c>
    </row>
    <row r="18" customFormat="false" ht="15" hidden="false" customHeight="false" outlineLevel="0" collapsed="false">
      <c r="B18" s="26" t="s">
        <v>109</v>
      </c>
      <c r="C18" s="37" t="n">
        <v>4</v>
      </c>
      <c r="D18" s="33" t="s">
        <v>110</v>
      </c>
    </row>
    <row r="19" customFormat="false" ht="15" hidden="false" customHeight="false" outlineLevel="0" collapsed="false">
      <c r="B19" s="26" t="s">
        <v>111</v>
      </c>
      <c r="C19" s="35" t="n">
        <v>50</v>
      </c>
      <c r="D19" s="33" t="s">
        <v>112</v>
      </c>
    </row>
    <row r="20" customFormat="false" ht="15" hidden="false" customHeight="false" outlineLevel="0" collapsed="false">
      <c r="B20" s="26" t="s">
        <v>113</v>
      </c>
      <c r="C20" s="34" t="n">
        <v>26</v>
      </c>
      <c r="D20" s="33" t="s">
        <v>114</v>
      </c>
    </row>
    <row r="21" customFormat="false" ht="15" hidden="false" customHeight="false" outlineLevel="0" collapsed="false">
      <c r="B21" s="3" t="s">
        <v>115</v>
      </c>
    </row>
    <row r="22" customFormat="false" ht="15" hidden="false" customHeight="false" outlineLevel="0" collapsed="false">
      <c r="B22" s="26" t="s">
        <v>116</v>
      </c>
      <c r="C22" s="38" t="n">
        <f aca="false">NORMSINV(1-(1-C7)/2)</f>
        <v>1.95996398454005</v>
      </c>
      <c r="D22" s="33" t="s">
        <v>117</v>
      </c>
    </row>
    <row r="23" customFormat="false" ht="15" hidden="false" customHeight="false" outlineLevel="0" collapsed="false">
      <c r="B23" s="26" t="s">
        <v>118</v>
      </c>
      <c r="C23" s="38" t="n">
        <f aca="false">NORMSINV(C8)</f>
        <v>0.841621233572914</v>
      </c>
      <c r="D23" s="33" t="s">
        <v>119</v>
      </c>
    </row>
    <row r="24" customFormat="false" ht="15" hidden="false" customHeight="false" outlineLevel="0" collapsed="false">
      <c r="B24" s="26" t="s">
        <v>120</v>
      </c>
      <c r="C24" s="38" t="n">
        <f aca="false">(C22+C23)^2</f>
        <v>7.84887973434909</v>
      </c>
      <c r="D24" s="33" t="s">
        <v>121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C2A39"/>
    <pageSetUpPr fitToPage="false"/>
  </sheetPr>
  <dimension ref="B2:D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42"/>
    <col collapsed="false" customWidth="true" hidden="false" outlineLevel="0" max="3" min="3" style="0" width="18"/>
    <col collapsed="false" customWidth="true" hidden="false" outlineLevel="0" max="4" min="4" style="0" width="60"/>
  </cols>
  <sheetData>
    <row r="2" customFormat="false" ht="19.7" hidden="false" customHeight="false" outlineLevel="0" collapsed="false">
      <c r="B2" s="1" t="s">
        <v>122</v>
      </c>
    </row>
    <row r="3" customFormat="false" ht="15" hidden="false" customHeight="false" outlineLevel="0" collapsed="false">
      <c r="B3" s="2" t="s">
        <v>123</v>
      </c>
    </row>
    <row r="5" customFormat="false" ht="15" hidden="false" customHeight="false" outlineLevel="0" collapsed="false">
      <c r="B5" s="3" t="s">
        <v>124</v>
      </c>
    </row>
    <row r="6" customFormat="false" ht="15" hidden="false" customHeight="false" outlineLevel="0" collapsed="false">
      <c r="B6" s="26" t="s">
        <v>48</v>
      </c>
      <c r="C6" s="39" t="s">
        <v>70</v>
      </c>
    </row>
    <row r="7" customFormat="false" ht="15" hidden="false" customHeight="false" outlineLevel="0" collapsed="false">
      <c r="B7" s="26" t="s">
        <v>125</v>
      </c>
      <c r="C7" s="35" t="n">
        <v>350</v>
      </c>
    </row>
    <row r="8" customFormat="false" ht="15" hidden="false" customHeight="false" outlineLevel="0" collapsed="false">
      <c r="B8" s="26" t="s">
        <v>126</v>
      </c>
      <c r="C8" s="40" t="n">
        <v>6500000</v>
      </c>
    </row>
    <row r="9" customFormat="false" ht="15" hidden="false" customHeight="false" outlineLevel="0" collapsed="false">
      <c r="B9" s="26" t="s">
        <v>127</v>
      </c>
      <c r="C9" s="35" t="n">
        <v>110</v>
      </c>
    </row>
    <row r="10" customFormat="false" ht="15" hidden="false" customHeight="false" outlineLevel="0" collapsed="false">
      <c r="B10" s="26" t="s">
        <v>128</v>
      </c>
      <c r="C10" s="32" t="n">
        <f aca="false">Assumptions!$C$11</f>
        <v>0.5</v>
      </c>
    </row>
    <row r="11" customFormat="false" ht="15" hidden="false" customHeight="false" outlineLevel="0" collapsed="false">
      <c r="B11" s="26" t="s">
        <v>92</v>
      </c>
      <c r="C11" s="32" t="n">
        <f aca="false">Assumptions!$C$9</f>
        <v>0.05</v>
      </c>
    </row>
    <row r="12" customFormat="false" ht="15" hidden="false" customHeight="false" outlineLevel="0" collapsed="false">
      <c r="B12" s="26" t="s">
        <v>129</v>
      </c>
      <c r="C12" s="34" t="n">
        <f aca="false">Assumptions!$C$10</f>
        <v>2</v>
      </c>
    </row>
    <row r="13" customFormat="false" ht="15" hidden="false" customHeight="false" outlineLevel="0" collapsed="false">
      <c r="B13" s="3" t="s">
        <v>130</v>
      </c>
    </row>
    <row r="14" customFormat="false" ht="15" hidden="false" customHeight="false" outlineLevel="0" collapsed="false">
      <c r="B14" s="26" t="s">
        <v>131</v>
      </c>
      <c r="C14" s="41" t="n">
        <f aca="false">C7*1000000/12/C8</f>
        <v>4.48717948717949</v>
      </c>
      <c r="D14" s="33" t="s">
        <v>132</v>
      </c>
    </row>
    <row r="15" customFormat="false" ht="15" hidden="false" customHeight="false" outlineLevel="0" collapsed="false">
      <c r="B15" s="26" t="s">
        <v>133</v>
      </c>
      <c r="C15" s="42" t="n">
        <f aca="false">C14/C9</f>
        <v>0.0407925407925408</v>
      </c>
      <c r="D15" s="33" t="s">
        <v>134</v>
      </c>
    </row>
    <row r="16" customFormat="false" ht="15" hidden="false" customHeight="false" outlineLevel="0" collapsed="false">
      <c r="B16" s="26" t="s">
        <v>135</v>
      </c>
      <c r="C16" s="43" t="n">
        <f aca="false">C8*C15</f>
        <v>265151.515151515</v>
      </c>
      <c r="D16" s="33"/>
    </row>
    <row r="17" customFormat="false" ht="15" hidden="false" customHeight="false" outlineLevel="0" collapsed="false">
      <c r="B17" s="26" t="s">
        <v>136</v>
      </c>
      <c r="C17" s="43" t="n">
        <f aca="false">Assumptions!$C$24*(C15*(1-C15)+C15*(1+C11)*(1-C15*(1+C11)))/(C15*C11)^2</f>
        <v>151175.030026231</v>
      </c>
      <c r="D17" s="33" t="s">
        <v>137</v>
      </c>
    </row>
    <row r="18" customFormat="false" ht="15" hidden="false" customHeight="false" outlineLevel="0" collapsed="false">
      <c r="B18" s="26" t="s">
        <v>138</v>
      </c>
      <c r="C18" s="43" t="n">
        <f aca="false">C17*C15</f>
        <v>6166.8135791586</v>
      </c>
      <c r="D18" s="33" t="s">
        <v>139</v>
      </c>
    </row>
    <row r="19" customFormat="false" ht="15" hidden="false" customHeight="false" outlineLevel="0" collapsed="false">
      <c r="B19" s="26" t="s">
        <v>140</v>
      </c>
      <c r="C19" s="43" t="n">
        <f aca="false">C8/Assumptions!$C$14*C10</f>
        <v>750000</v>
      </c>
      <c r="D19" s="33"/>
    </row>
    <row r="20" customFormat="false" ht="15" hidden="false" customHeight="false" outlineLevel="0" collapsed="false">
      <c r="B20" s="26" t="s">
        <v>33</v>
      </c>
      <c r="C20" s="44" t="n">
        <f aca="false">C17*C12/C19</f>
        <v>0.403133413403282</v>
      </c>
      <c r="D20" s="33" t="s">
        <v>141</v>
      </c>
    </row>
    <row r="21" customFormat="false" ht="15" hidden="false" customHeight="false" outlineLevel="0" collapsed="false">
      <c r="B21" s="26" t="s">
        <v>142</v>
      </c>
      <c r="C21" s="45" t="n">
        <f aca="false">MAX(CEILING(C20,1),Assumptions!$C$12)</f>
        <v>2</v>
      </c>
      <c r="D21" s="33" t="s">
        <v>143</v>
      </c>
    </row>
    <row r="22" customFormat="false" ht="15" hidden="false" customHeight="false" outlineLevel="0" collapsed="false">
      <c r="B22" s="26" t="s">
        <v>144</v>
      </c>
      <c r="C22" s="45" t="n">
        <f aca="false">MIN(Assumptions!$C$20,52/C21)</f>
        <v>26</v>
      </c>
      <c r="D22" s="33"/>
    </row>
    <row r="23" customFormat="false" ht="15" hidden="false" customHeight="false" outlineLevel="0" collapsed="false">
      <c r="B23" s="26" t="s">
        <v>145</v>
      </c>
      <c r="C23" s="46" t="n">
        <f aca="false">SQRT(Assumptions!$C$24)*SQRT(2*C15*(1-C15)/(C19*4/C12))/C15</f>
        <v>0.0156869712653761</v>
      </c>
      <c r="D23" s="33" t="s">
        <v>146</v>
      </c>
    </row>
    <row r="24" customFormat="false" ht="15" hidden="false" customHeight="false" outlineLevel="0" collapsed="false">
      <c r="B24" s="26" t="s">
        <v>62</v>
      </c>
      <c r="C24" s="47" t="str">
        <f aca="false">IF(AND(C20&lt;=Assumptions!$C$16,C7&gt;=Assumptions!$C$17),"Tier 1",IF(AND(C20&lt;=Assumptions!$C$18,C7&gt;=Assumptions!$C$19),"Tier 2","Tier 3"))</f>
        <v>Tier 1</v>
      </c>
      <c r="D24" s="33"/>
    </row>
    <row r="25" customFormat="false" ht="15" hidden="false" customHeight="false" outlineLevel="0" collapsed="false">
      <c r="B25" s="3" t="s">
        <v>147</v>
      </c>
    </row>
    <row r="26" customFormat="false" ht="15" hidden="false" customHeight="false" outlineLevel="0" collapsed="false">
      <c r="B26" s="26" t="s">
        <v>148</v>
      </c>
      <c r="C26" s="48" t="n">
        <f aca="false">C7*1000000/12*C10</f>
        <v>14583333.3333333</v>
      </c>
      <c r="D26" s="33"/>
    </row>
    <row r="27" customFormat="false" ht="15" hidden="false" customHeight="false" outlineLevel="0" collapsed="false">
      <c r="B27" s="26" t="s">
        <v>149</v>
      </c>
      <c r="C27" s="48" t="n">
        <f aca="false">C26*12*C11</f>
        <v>8750000</v>
      </c>
      <c r="D27" s="33" t="s">
        <v>150</v>
      </c>
    </row>
  </sheetData>
  <conditionalFormatting sqref="C24">
    <cfRule type="expression" priority="2" aboveAverage="0" equalAverage="0" bottom="0" percent="0" rank="0" text="" dxfId="10">
      <formula>$C$24="Tier 1"</formula>
    </cfRule>
    <cfRule type="expression" priority="3" aboveAverage="0" equalAverage="0" bottom="0" percent="0" rank="0" text="" dxfId="11">
      <formula>$C$24="Tier 2"</formula>
    </cfRule>
    <cfRule type="expression" priority="4" aboveAverage="0" equalAverage="0" bottom="0" percent="0" rank="0" text="" dxfId="12">
      <formula>$C$24="Tier 3"</formula>
    </cfRule>
  </conditionalFormatting>
  <conditionalFormatting sqref="C20">
    <cfRule type="expression" priority="5" aboveAverage="0" equalAverage="0" bottom="0" percent="0" rank="0" text="" dxfId="13">
      <formula>$C$20&gt;Assumptions!$C$18</formula>
    </cfRule>
  </conditionalFormatting>
  <conditionalFormatting sqref="C23">
    <cfRule type="expression" priority="6" aboveAverage="0" equalAverage="0" bottom="0" percent="0" rank="0" text="" dxfId="13">
      <formula>$C$23&gt;0.1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C2A39"/>
    <pageSetUpPr fitToPage="false"/>
  </sheetPr>
  <dimension ref="B2:G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20"/>
    <col collapsed="false" customWidth="true" hidden="false" outlineLevel="0" max="7" min="3" style="0" width="15"/>
  </cols>
  <sheetData>
    <row r="2" customFormat="false" ht="19.7" hidden="false" customHeight="false" outlineLevel="0" collapsed="false">
      <c r="B2" s="1" t="s">
        <v>151</v>
      </c>
    </row>
    <row r="3" customFormat="false" ht="15" hidden="false" customHeight="false" outlineLevel="0" collapsed="false">
      <c r="B3" s="2" t="s">
        <v>152</v>
      </c>
    </row>
    <row r="5" customFormat="false" ht="15" hidden="false" customHeight="false" outlineLevel="0" collapsed="false">
      <c r="B5" s="30" t="s">
        <v>153</v>
      </c>
      <c r="C5" s="13" t="n">
        <v>2</v>
      </c>
      <c r="D5" s="2" t="s">
        <v>154</v>
      </c>
    </row>
    <row r="7" customFormat="false" ht="31.5" hidden="false" customHeight="true" outlineLevel="0" collapsed="false">
      <c r="B7" s="11" t="s">
        <v>155</v>
      </c>
      <c r="C7" s="49" t="n">
        <v>0.03</v>
      </c>
      <c r="D7" s="49" t="n">
        <v>0.05</v>
      </c>
      <c r="E7" s="49" t="n">
        <v>0.1</v>
      </c>
      <c r="F7" s="49" t="n">
        <v>0.15</v>
      </c>
      <c r="G7" s="49" t="n">
        <v>0.2</v>
      </c>
    </row>
    <row r="8" customFormat="false" ht="15" hidden="false" customHeight="false" outlineLevel="0" collapsed="false">
      <c r="B8" s="50" t="n">
        <v>0.005</v>
      </c>
      <c r="C8" s="51" t="n">
        <f aca="false">Assumptions!$C$24*($B8*(1-$B8)+$B8*(1+C$7)*(1-$B8*(1+C$7)))/($B8*C$7)^2*Assumptions!$C$10/$C$5*Assumptions!$C$14/Assumptions!$C$11</f>
        <v>30530446.2271968</v>
      </c>
      <c r="D8" s="51" t="n">
        <f aca="false">Assumptions!$C$24*($B8*(1-$B8)+$B8*(1+D$7)*(1-$B8*(1+D$7)))/($B8*D$7)^2*Assumptions!$C$10/$C$5*Assumptions!$C$14/Assumptions!$C$11</f>
        <v>11098666.5276644</v>
      </c>
      <c r="E8" s="51" t="n">
        <f aca="false">Assumptions!$C$24*($B8*(1-$B8)+$B8*(1+E$7)*(1-$B8*(1+E$7)))/($B8*E$7)^2*Assumptions!$C$10/$C$5*Assumptions!$C$14/Assumptions!$C$11</f>
        <v>2841959.00231854</v>
      </c>
      <c r="F8" s="51" t="n">
        <f aca="false">Assumptions!$C$24*($B8*(1-$B8)+$B8*(1+F$7)*(1-$B8*(1+F$7)))/($B8*F$7)^2*Assumptions!$C$10/$C$5*Assumptions!$C$14/Assumptions!$C$11</f>
        <v>1292985.49373725</v>
      </c>
      <c r="G8" s="51" t="n">
        <f aca="false">Assumptions!$C$24*($B8*(1-$B8)+$B8*(1+G$7)*(1-$B8*(1+G$7)))/($B8*G$7)^2*Assumptions!$C$10/$C$5*Assumptions!$C$14/Assumptions!$C$11</f>
        <v>744110.42692172</v>
      </c>
    </row>
    <row r="9" customFormat="false" ht="15" hidden="false" customHeight="false" outlineLevel="0" collapsed="false">
      <c r="B9" s="50" t="n">
        <v>0.01</v>
      </c>
      <c r="C9" s="51" t="n">
        <f aca="false">Assumptions!$C$24*($B9*(1-$B9)+$B9*(1+C$7)*(1-$B9*(1+C$7)))/($B9*C$7)^2*Assumptions!$C$10/$C$5*Assumptions!$C$14/Assumptions!$C$11</f>
        <v>15187339.8427915</v>
      </c>
      <c r="D9" s="51" t="n">
        <f aca="false">Assumptions!$C$24*($B9*(1-$B9)+$B9*(1+D$7)*(1-$B9*(1+D$7)))/($B9*D$7)^2*Assumptions!$C$10/$C$5*Assumptions!$C$14/Assumptions!$C$11</f>
        <v>5520729.32978699</v>
      </c>
      <c r="E9" s="51" t="n">
        <f aca="false">Assumptions!$C$24*($B9*(1-$B9)+$B9*(1+E$7)*(1-$B9*(1+E$7)))/($B9*E$7)^2*Assumptions!$C$10/$C$5*Assumptions!$C$14/Assumptions!$C$11</f>
        <v>1413462.89066701</v>
      </c>
      <c r="F9" s="51" t="n">
        <f aca="false">Assumptions!$C$24*($B9*(1-$B9)+$B9*(1+F$7)*(1-$B9*(1+F$7)))/($B9*F$7)^2*Assumptions!$C$10/$C$5*Assumptions!$C$14/Assumptions!$C$11</f>
        <v>642981.972033374</v>
      </c>
      <c r="G9" s="51" t="n">
        <f aca="false">Assumptions!$C$24*($B9*(1-$B9)+$B9*(1+G$7)*(1-$B9*(1+G$7)))/($B9*G$7)^2*Assumptions!$C$10/$C$5*Assumptions!$C$14/Assumptions!$C$11</f>
        <v>369980.492917747</v>
      </c>
    </row>
    <row r="10" customFormat="false" ht="15" hidden="false" customHeight="false" outlineLevel="0" collapsed="false">
      <c r="B10" s="50" t="n">
        <v>0.015</v>
      </c>
      <c r="C10" s="51" t="n">
        <f aca="false">Assumptions!$C$24*($B10*(1-$B10)+$B10*(1+C$7)*(1-$B10*(1+C$7)))/($B10*C$7)^2*Assumptions!$C$10/$C$5*Assumptions!$C$14/Assumptions!$C$11</f>
        <v>10072971.0479897</v>
      </c>
      <c r="D10" s="51" t="n">
        <f aca="false">Assumptions!$C$24*($B10*(1-$B10)+$B10*(1+D$7)*(1-$B10*(1+D$7)))/($B10*D$7)^2*Assumptions!$C$10/$C$5*Assumptions!$C$14/Assumptions!$C$11</f>
        <v>3661416.93049452</v>
      </c>
      <c r="E10" s="51" t="n">
        <f aca="false">Assumptions!$C$24*($B10*(1-$B10)+$B10*(1+E$7)*(1-$B10*(1+E$7)))/($B10*E$7)^2*Assumptions!$C$10/$C$5*Assumptions!$C$14/Assumptions!$C$11</f>
        <v>937297.520116499</v>
      </c>
      <c r="F10" s="51" t="n">
        <f aca="false">Assumptions!$C$24*($B10*(1-$B10)+$B10*(1+F$7)*(1-$B10*(1+F$7)))/($B10*F$7)^2*Assumptions!$C$10/$C$5*Assumptions!$C$14/Assumptions!$C$11</f>
        <v>426314.131465416</v>
      </c>
      <c r="G10" s="51" t="n">
        <f aca="false">Assumptions!$C$24*($B10*(1-$B10)+$B10*(1+G$7)*(1-$B10*(1+G$7)))/($B10*G$7)^2*Assumptions!$C$10/$C$5*Assumptions!$C$14/Assumptions!$C$11</f>
        <v>245270.514916423</v>
      </c>
    </row>
    <row r="11" customFormat="false" ht="15" hidden="false" customHeight="false" outlineLevel="0" collapsed="false">
      <c r="B11" s="50" t="n">
        <v>0.02</v>
      </c>
      <c r="C11" s="51" t="n">
        <f aca="false">Assumptions!$C$24*($B11*(1-$B11)+$B11*(1+C$7)*(1-$B11*(1+C$7)))/($B11*C$7)^2*Assumptions!$C$10/$C$5*Assumptions!$C$14/Assumptions!$C$11</f>
        <v>7515786.65058879</v>
      </c>
      <c r="D11" s="51" t="n">
        <f aca="false">Assumptions!$C$24*($B11*(1-$B11)+$B11*(1+D$7)*(1-$B11*(1+D$7)))/($B11*D$7)^2*Assumptions!$C$10/$C$5*Assumptions!$C$14/Assumptions!$C$11</f>
        <v>2731760.73084828</v>
      </c>
      <c r="E11" s="51" t="n">
        <f aca="false">Assumptions!$C$24*($B11*(1-$B11)+$B11*(1+E$7)*(1-$B11*(1+E$7)))/($B11*E$7)^2*Assumptions!$C$10/$C$5*Assumptions!$C$14/Assumptions!$C$11</f>
        <v>699214.834841244</v>
      </c>
      <c r="F11" s="51" t="n">
        <f aca="false">Assumptions!$C$24*($B11*(1-$B11)+$B11*(1+F$7)*(1-$B11*(1+F$7)))/($B11*F$7)^2*Assumptions!$C$10/$C$5*Assumptions!$C$14/Assumptions!$C$11</f>
        <v>317980.211181437</v>
      </c>
      <c r="G11" s="51" t="n">
        <f aca="false">Assumptions!$C$24*($B11*(1-$B11)+$B11*(1+G$7)*(1-$B11*(1+G$7)))/($B11*G$7)^2*Assumptions!$C$10/$C$5*Assumptions!$C$14/Assumptions!$C$11</f>
        <v>182915.525915761</v>
      </c>
    </row>
    <row r="12" customFormat="false" ht="15" hidden="false" customHeight="false" outlineLevel="0" collapsed="false">
      <c r="B12" s="50" t="n">
        <v>0.025</v>
      </c>
      <c r="C12" s="51" t="n">
        <f aca="false">Assumptions!$C$24*($B12*(1-$B12)+$B12*(1+C$7)*(1-$B12*(1+C$7)))/($B12*C$7)^2*Assumptions!$C$10/$C$5*Assumptions!$C$14/Assumptions!$C$11</f>
        <v>5981476.01214825</v>
      </c>
      <c r="D12" s="51" t="n">
        <f aca="false">Assumptions!$C$24*($B12*(1-$B12)+$B12*(1+D$7)*(1-$B12*(1+D$7)))/($B12*D$7)^2*Assumptions!$C$10/$C$5*Assumptions!$C$14/Assumptions!$C$11</f>
        <v>2173967.01106054</v>
      </c>
      <c r="E12" s="51" t="n">
        <f aca="false">Assumptions!$C$24*($B12*(1-$B12)+$B12*(1+E$7)*(1-$B12*(1+E$7)))/($B12*E$7)^2*Assumptions!$C$10/$C$5*Assumptions!$C$14/Assumptions!$C$11</f>
        <v>556365.22367609</v>
      </c>
      <c r="F12" s="51" t="n">
        <f aca="false">Assumptions!$C$24*($B12*(1-$B12)+$B12*(1+F$7)*(1-$B12*(1+F$7)))/($B12*F$7)^2*Assumptions!$C$10/$C$5*Assumptions!$C$14/Assumptions!$C$11</f>
        <v>252979.85901105</v>
      </c>
      <c r="G12" s="51" t="n">
        <f aca="false">Assumptions!$C$24*($B12*(1-$B12)+$B12*(1+G$7)*(1-$B12*(1+G$7)))/($B12*G$7)^2*Assumptions!$C$10/$C$5*Assumptions!$C$14/Assumptions!$C$11</f>
        <v>145502.532515363</v>
      </c>
    </row>
    <row r="13" customFormat="false" ht="15" hidden="false" customHeight="false" outlineLevel="0" collapsed="false">
      <c r="B13" s="50" t="n">
        <v>0.03</v>
      </c>
      <c r="C13" s="51" t="n">
        <f aca="false">Assumptions!$C$24*($B13*(1-$B13)+$B13*(1+C$7)*(1-$B13*(1+C$7)))/($B13*C$7)^2*Assumptions!$C$10/$C$5*Assumptions!$C$14/Assumptions!$C$11</f>
        <v>4958602.25318789</v>
      </c>
      <c r="D13" s="51" t="n">
        <f aca="false">Assumptions!$C$24*($B13*(1-$B13)+$B13*(1+D$7)*(1-$B13*(1+D$7)))/($B13*D$7)^2*Assumptions!$C$10/$C$5*Assumptions!$C$14/Assumptions!$C$11</f>
        <v>1802104.53120205</v>
      </c>
      <c r="E13" s="51" t="n">
        <f aca="false">Assumptions!$C$24*($B13*(1-$B13)+$B13*(1+E$7)*(1-$B13*(1+E$7)))/($B13*E$7)^2*Assumptions!$C$10/$C$5*Assumptions!$C$14/Assumptions!$C$11</f>
        <v>461132.149565988</v>
      </c>
      <c r="F13" s="51" t="n">
        <f aca="false">Assumptions!$C$24*($B13*(1-$B13)+$B13*(1+F$7)*(1-$B13*(1+F$7)))/($B13*F$7)^2*Assumptions!$C$10/$C$5*Assumptions!$C$14/Assumptions!$C$11</f>
        <v>209646.290897459</v>
      </c>
      <c r="G13" s="51" t="n">
        <f aca="false">Assumptions!$C$24*($B13*(1-$B13)+$B13*(1+G$7)*(1-$B13*(1+G$7)))/($B13*G$7)^2*Assumptions!$C$10/$C$5*Assumptions!$C$14/Assumptions!$C$11</f>
        <v>120560.536915098</v>
      </c>
    </row>
    <row r="14" customFormat="false" ht="15" hidden="false" customHeight="false" outlineLevel="0" collapsed="false">
      <c r="B14" s="50" t="n">
        <v>0.04</v>
      </c>
      <c r="C14" s="51" t="n">
        <f aca="false">Assumptions!$C$24*($B14*(1-$B14)+$B14*(1+C$7)*(1-$B14*(1+C$7)))/($B14*C$7)^2*Assumptions!$C$10/$C$5*Assumptions!$C$14/Assumptions!$C$11</f>
        <v>3680010.05448744</v>
      </c>
      <c r="D14" s="51" t="n">
        <f aca="false">Assumptions!$C$24*($B14*(1-$B14)+$B14*(1+D$7)*(1-$B14*(1+D$7)))/($B14*D$7)^2*Assumptions!$C$10/$C$5*Assumptions!$C$14/Assumptions!$C$11</f>
        <v>1337276.43137893</v>
      </c>
      <c r="E14" s="51" t="n">
        <f aca="false">Assumptions!$C$24*($B14*(1-$B14)+$B14*(1+E$7)*(1-$B14*(1+E$7)))/($B14*E$7)^2*Assumptions!$C$10/$C$5*Assumptions!$C$14/Assumptions!$C$11</f>
        <v>342090.80692836</v>
      </c>
      <c r="F14" s="51" t="n">
        <f aca="false">Assumptions!$C$24*($B14*(1-$B14)+$B14*(1+F$7)*(1-$B14*(1+F$7)))/($B14*F$7)^2*Assumptions!$C$10/$C$5*Assumptions!$C$14/Assumptions!$C$11</f>
        <v>155479.330755469</v>
      </c>
      <c r="G14" s="51" t="n">
        <f aca="false">Assumptions!$C$24*($B14*(1-$B14)+$B14*(1+G$7)*(1-$B14*(1+G$7)))/($B14*G$7)^2*Assumptions!$C$10/$C$5*Assumptions!$C$14/Assumptions!$C$11</f>
        <v>89383.0424147674</v>
      </c>
    </row>
    <row r="15" customFormat="false" ht="15" hidden="false" customHeight="false" outlineLevel="0" collapsed="false">
      <c r="B15" s="50" t="n">
        <v>0.05</v>
      </c>
      <c r="C15" s="51" t="n">
        <f aca="false">Assumptions!$C$24*($B15*(1-$B15)+$B15*(1+C$7)*(1-$B15*(1+C$7)))/($B15*C$7)^2*Assumptions!$C$10/$C$5*Assumptions!$C$14/Assumptions!$C$11</f>
        <v>2912854.73526718</v>
      </c>
      <c r="D15" s="51" t="n">
        <f aca="false">Assumptions!$C$24*($B15*(1-$B15)+$B15*(1+D$7)*(1-$B15*(1+D$7)))/($B15*D$7)^2*Assumptions!$C$10/$C$5*Assumptions!$C$14/Assumptions!$C$11</f>
        <v>1058379.57148506</v>
      </c>
      <c r="E15" s="51" t="n">
        <f aca="false">Assumptions!$C$24*($B15*(1-$B15)+$B15*(1+E$7)*(1-$B15*(1+E$7)))/($B15*E$7)^2*Assumptions!$C$10/$C$5*Assumptions!$C$14/Assumptions!$C$11</f>
        <v>270666.001345783</v>
      </c>
      <c r="F15" s="51" t="n">
        <f aca="false">Assumptions!$C$24*($B15*(1-$B15)+$B15*(1+F$7)*(1-$B15*(1+F$7)))/($B15*F$7)^2*Assumptions!$C$10/$C$5*Assumptions!$C$14/Assumptions!$C$11</f>
        <v>122979.154670276</v>
      </c>
      <c r="G15" s="51" t="n">
        <f aca="false">Assumptions!$C$24*($B15*(1-$B15)+$B15*(1+G$7)*(1-$B15*(1+G$7)))/($B15*G$7)^2*Assumptions!$C$10/$C$5*Assumptions!$C$14/Assumptions!$C$11</f>
        <v>70676.5457145687</v>
      </c>
    </row>
    <row r="17" customFormat="false" ht="15" hidden="false" customHeight="false" outlineLevel="0" collapsed="false">
      <c r="B17" s="3" t="s">
        <v>156</v>
      </c>
    </row>
    <row r="18" customFormat="false" ht="15" hidden="false" customHeight="false" outlineLevel="0" collapsed="false">
      <c r="B18" s="26" t="s">
        <v>157</v>
      </c>
    </row>
    <row r="19" customFormat="false" ht="15" hidden="false" customHeight="false" outlineLevel="0" collapsed="false">
      <c r="B19" s="26" t="s">
        <v>158</v>
      </c>
    </row>
    <row r="20" customFormat="false" ht="15" hidden="false" customHeight="false" outlineLevel="0" collapsed="false">
      <c r="B20" s="26" t="s">
        <v>159</v>
      </c>
    </row>
    <row r="21" customFormat="false" ht="15" hidden="false" customHeight="false" outlineLevel="0" collapsed="false">
      <c r="B21" s="26" t="s">
        <v>160</v>
      </c>
    </row>
  </sheetData>
  <conditionalFormatting sqref="C8:G15">
    <cfRule type="expression" priority="2" aboveAverage="0" equalAverage="0" bottom="0" percent="0" rank="0" text="" dxfId="14">
      <formula>C8&gt;10000000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2026-10-04T19:18:53Z</dcterms:created>
  <dc:creator>openpyxl</dc:creator>
  <dc:description/>
  <dc:language>en-US</dc:language>
  <cp:lastModifiedBy/>
  <dcterms:modified xsi:type="dcterms:W3CDTF">2026-10-04T19:18:53Z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