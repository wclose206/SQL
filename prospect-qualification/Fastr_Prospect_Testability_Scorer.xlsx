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rospect Scorer" sheetId="2" state="visible" r:id="rId4"/>
    <sheet name="Calibration" sheetId="3" state="visible" r:id="rId5"/>
    <sheet name="Single Calculator" sheetId="4" state="visible" r:id="rId6"/>
    <sheet name="Order Thresholds" sheetId="5" state="visible" r:id="rId7"/>
    <sheet name="Assumptions" sheetId="6" state="visible" r:id="rId8"/>
  </sheets>
  <definedNames>
    <definedName function="false" hidden="true" localSheetId="1" name="_xlnm._FilterDatabase" vbProcedure="false">'Prospect Scorer'!$A$4:$P$204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Best input. Online orders per month from the prospect's analytics/Shopify/GA4. Overrides traffic and revenue.</t>
        </r>
      </text>
    </comment>
    <comment ref="D4" authorId="0">
      <text>
        <r>
          <rPr>
            <sz val="10"/>
            <rFont val="Arial"/>
            <family val="2"/>
          </rPr>
          <t xml:space="preserve">Used only if orders are blank: visitors × vertical conversion rate.</t>
        </r>
      </text>
    </comment>
    <comment ref="E4" authorId="0">
      <text>
        <r>
          <rPr>
            <sz val="10"/>
            <rFont val="Arial"/>
            <family val="2"/>
          </rPr>
          <t xml:space="preserve">Used only if orders and visitors are blank: revenue ÷ AOV ÷ 12. Least reliable: public 'digital revenue' often includes stores, phone, Amazon or international.</t>
        </r>
      </text>
    </comment>
    <comment ref="G4" authorId="0">
      <text>
        <r>
          <rPr>
            <sz val="10"/>
            <rFont val="Arial"/>
            <family val="2"/>
          </rPr>
          <t xml:space="preserve">Optional: weekly count of a high-volume goal (CTA clicks, appointment/lead submits). Lets a low-order site qualify for micro-conversion tests (e.g., Ethan Allen).</t>
        </r>
      </text>
    </comment>
  </commentList>
</comments>
</file>

<file path=xl/sharedStrings.xml><?xml version="1.0" encoding="utf-8"?>
<sst xmlns="http://schemas.openxmlformats.org/spreadsheetml/2006/main" count="298" uniqueCount="238">
  <si>
    <t xml:space="preserve">Fastr Optimize — Prospect Testability Scorer (v2)</t>
  </si>
  <si>
    <t xml:space="preserve">Tier prospects by how many online orders they get per week — the number that decides whether an A/B test can reach significance.</t>
  </si>
  <si>
    <t xml:space="preserve">WHAT CHANGED IN V2</t>
  </si>
  <si>
    <t xml:space="preserve">Orders, not revenue</t>
  </si>
  <si>
    <t xml:space="preserve">Calibrated on Fastr's own PostHog data: Express and Bonobos test fast (5,000+ orders/week); Ethan Allen and The 1916 Company don't (under 300). Revenue misled: Bonobos tests fast on ~$79M/yr of tracked orders.</t>
  </si>
  <si>
    <t xml:space="preserve">HOW TO USE</t>
  </si>
  <si>
    <t xml:space="preserve">1. Score prospects</t>
  </si>
  <si>
    <t xml:space="preserve">On 'Prospect Scorer', enter Company and Vertical, then the best input you have: monthly online orders (best) → monthly visitors → annual US digital revenue. The sheet estimates orders from whichever is filled first.</t>
  </si>
  <si>
    <t xml:space="preserve">2. Micro-conversions</t>
  </si>
  <si>
    <t xml:space="preserve">If a prospect has few orders but a high-volume goal (CTA clicks, appointment or lead submits), enter it per week. It can earn 'Tier 3 — micro-conversion tests only' (the Ethan Allen model).</t>
  </si>
  <si>
    <t xml:space="preserve">3. Discovery calls</t>
  </si>
  <si>
    <t xml:space="preserve">'Single Calculator' shows one prospect's numbers. 'Order Thresholds' shows weeks-to-read by order volume and lift.</t>
  </si>
  <si>
    <t xml:space="preserve">4. Check the evidence</t>
  </si>
  <si>
    <t xml:space="preserve">'Calibration' shows the 4 PostHog customers and 23 public retailers run through the same formulas.</t>
  </si>
  <si>
    <t xml:space="preserve">CELL LEGEND</t>
  </si>
  <si>
    <t xml:space="preserve">Blue text, grey fill</t>
  </si>
  <si>
    <t xml:space="preserve">Input — edit these.</t>
  </si>
  <si>
    <t xml:space="preserve">Black text</t>
  </si>
  <si>
    <t xml:space="preserve">Formula — do not overwrite.</t>
  </si>
  <si>
    <t xml:space="preserve">TIER LOGIC</t>
  </si>
  <si>
    <t xml:space="preserve">Tier 1 — Pursue</t>
  </si>
  <si>
    <t xml:space="preserve">≥ 5,000 online orders/week (~21,700/month). Reads a 10% lift in about a week and a 5% lift in about 5. Offer the trial.</t>
  </si>
  <si>
    <t xml:space="preserve">Tier 2 — Qualify</t>
  </si>
  <si>
    <t xml:space="preserve">1,500–5,000 orders/week. Bold tests (≥10% lift) read in 1.5–4.5 weeks. Trial on top-traffic pages only, with a scoped test plan.</t>
  </si>
  <si>
    <t xml:space="preserve">Tier 3 — Don't trial</t>
  </si>
  <si>
    <t xml:space="preserve">Under 1,500 orders/week. Purchase tests take months. Don't offer an A/B trial unless tests can be scored on a micro-conversion with ≥ 1,500 events/week.</t>
  </si>
  <si>
    <t xml:space="preserve">THE MATH</t>
  </si>
  <si>
    <t xml:space="preserve">Conversions per variant</t>
  </si>
  <si>
    <t xml:space="preserve">(Z₁₋α/₂ + Z₁₋β)² × (2 + lift) ÷ lift². Two-proportion z-test when the conversion rate is small (slightly conservative). ≈1,650 at 10% lift, ≈6,450 at 5%.</t>
  </si>
  <si>
    <t xml:space="preserve">Weeks to read</t>
  </si>
  <si>
    <t xml:space="preserve">(Conversions per variant × variants) ÷ (orders per week × share of buyers in the test). Always run at least 2 weeks.</t>
  </si>
  <si>
    <t xml:space="preserve">Estimated orders</t>
  </si>
  <si>
    <t xml:space="preserve">Visitors × vertical conversion rate, or revenue ÷ AOV ÷ 12. Both are rough: public 'digital revenue' often includes stores, phone, Amazon or international sales.</t>
  </si>
  <si>
    <t xml:space="preserve">REFERENCES</t>
  </si>
  <si>
    <t xml:space="preserve">Sample size / power</t>
  </si>
  <si>
    <t xml:space="preserve">Evan Miller — https://www.evanmiller.org/how-not-to-run-an-ab-test.html  |  https://www.evanmiller.org/ab-testing/sample-size.html</t>
  </si>
  <si>
    <t xml:space="preserve">Minimum detectable effect</t>
  </si>
  <si>
    <t xml:space="preserve">https://www.optimizely.com/optimization-glossary/minimum-detectable-effect/</t>
  </si>
  <si>
    <t xml:space="preserve">Retailer size data</t>
  </si>
  <si>
    <t xml:space="preserve">Digital Commerce 360 Top 1000 (rank 500 ≈ $145M, rank 1000 ≈ $44M web sales) — https://www.digitalcommerce360.com/</t>
  </si>
  <si>
    <t xml:space="preserve">Caveats</t>
  </si>
  <si>
    <t xml:space="preserve">Calibration uses 4 customers over 2–4 weeks; widen it as more customers are measured. Treat accounts within ~25% of a threshold as the lower tier until real analytics are shared.</t>
  </si>
  <si>
    <t xml:space="preserve">Prospect Scorer</t>
  </si>
  <si>
    <t xml:space="preserve">Best input: monthly online orders. If unknown, enter monthly visitors or annual revenue and the sheet estimates orders. Example rows use public estimates for real retailers — overwrite them.</t>
  </si>
  <si>
    <t xml:space="preserve">Company</t>
  </si>
  <si>
    <t xml:space="preserve">Vertical</t>
  </si>
  <si>
    <t xml:space="preserve">Monthly Online Orders (best)</t>
  </si>
  <si>
    <t xml:space="preserve">Monthly Visitors / Sessions</t>
  </si>
  <si>
    <t xml:space="preserve">Annual US Digital Revenue ($M)</t>
  </si>
  <si>
    <t xml:space="preserve">AOV ($) — optional</t>
  </si>
  <si>
    <t xml:space="preserve">Weekly Micro-conversions — optional</t>
  </si>
  <si>
    <t xml:space="preserve">Data Source / Notes</t>
  </si>
  <si>
    <t xml:space="preserve">Orders Basis</t>
  </si>
  <si>
    <t xml:space="preserve">Est. Monthly Orders</t>
  </si>
  <si>
    <t xml:space="preserve">Orders / Week</t>
  </si>
  <si>
    <t xml:space="preserve">Weeks to Read Bold Lift (10%)</t>
  </si>
  <si>
    <t xml:space="preserve">Weeks to Read Typical Lift (5%)</t>
  </si>
  <si>
    <t xml:space="preserve">Tests / Year Capacity</t>
  </si>
  <si>
    <t xml:space="preserve">Tier</t>
  </si>
  <si>
    <t xml:space="preserve">Recommended Action</t>
  </si>
  <si>
    <t xml:space="preserve">Pipeline Summary</t>
  </si>
  <si>
    <t xml:space="preserve">Count</t>
  </si>
  <si>
    <t xml:space="preserve">Example — Brilliant Earth</t>
  </si>
  <si>
    <t xml:space="preserve">Jewelry, watches &amp; luxury</t>
  </si>
  <si>
    <t xml:space="preserve">Public: FY25 10-K revenue + AOV (estimate)</t>
  </si>
  <si>
    <t xml:space="preserve">Tier 1</t>
  </si>
  <si>
    <t xml:space="preserve">Example — Tilly's</t>
  </si>
  <si>
    <t xml:space="preserve">Apparel &amp; accessories</t>
  </si>
  <si>
    <t xml:space="preserve">Public: Semrush visits Mar-26 (estimate)</t>
  </si>
  <si>
    <t xml:space="preserve">Tier 2</t>
  </si>
  <si>
    <t xml:space="preserve">Example — known orders</t>
  </si>
  <si>
    <t xml:space="preserve">Home &amp; furniture</t>
  </si>
  <si>
    <t xml:space="preserve">Prospect-shared GA4: 1,200 orders/mo, 2,500 CTA clicks/wk</t>
  </si>
  <si>
    <t xml:space="preserve">Tier 3</t>
  </si>
  <si>
    <t xml:space="preserve">Calibration — Real Data Behind the Tiers</t>
  </si>
  <si>
    <t xml:space="preserve">Same formulas as the Scorer. Part A: Fastr customers measured in PostHog. Part B: public retailers (orders estimated from public revenue, AOV and traffic).</t>
  </si>
  <si>
    <t xml:space="preserve">A. Fastr customers — measured in PostHog (last full weeks, Sep–Oct 2026)</t>
  </si>
  <si>
    <t xml:space="preserve">Monthly Orders (actual)</t>
  </si>
  <si>
    <t xml:space="preserve">Monthly Visitors</t>
  </si>
  <si>
    <t xml:space="preserve">Annual Digital Rev ($M)</t>
  </si>
  <si>
    <t xml:space="preserve">AOV ($)</t>
  </si>
  <si>
    <t xml:space="preserve">Weekly Micro-conv.</t>
  </si>
  <si>
    <t xml:space="preserve">Observed / Source</t>
  </si>
  <si>
    <t xml:space="preserve">Wks: 10% Lift</t>
  </si>
  <si>
    <t xml:space="preserve">Wks: 5% Lift</t>
  </si>
  <si>
    <t xml:space="preserve">Tests / Yr</t>
  </si>
  <si>
    <t xml:space="preserve">Express</t>
  </si>
  <si>
    <t xml:space="preserve">FAST tester. PostHog Sep 7–Oct 4 2026: 2.60M visitors, 73.8K buyers (2.84%), $12.6M tracked revenue.</t>
  </si>
  <si>
    <t xml:space="preserve">Bonobos</t>
  </si>
  <si>
    <t xml:space="preserve">FAST tester. PostHog Sep 21–Oct 4 2026: 262K visitors/2 wks, 10.3K buyers (3.93%). Orders tracked from Sep 15.</t>
  </si>
  <si>
    <t xml:space="preserve">Ethan Allen</t>
  </si>
  <si>
    <t xml:space="preserve">GOOD account, but not on purchases: 1.1K online buyers/4 wks; tests are scored on design-center CTAs. Enter weekly CTA clicks in col G to see its micro-conversion tier.</t>
  </si>
  <si>
    <t xml:space="preserve">The 1916 Company</t>
  </si>
  <si>
    <t xml:space="preserve">SLOW. PostHog Sep 7–Oct 4 2026: 320K visitors, 48 online buyers, ~$7.5K AOV. Purchase tests cannot read.</t>
  </si>
  <si>
    <t xml:space="preserve">B. Public retailers — orders = revenue ÷ reported AOV where disclosed, else visits × vertical conversion rate (directional)</t>
  </si>
  <si>
    <t xml:space="preserve">Bath &amp; Body Works</t>
  </si>
  <si>
    <t xml:space="preserve">Beauty &amp; personal care</t>
  </si>
  <si>
    <t xml:space="preserve">Rev: FY24 Direct (US+CA). Visits: Similarweb Sep-25. Orders = visits × vertical CVR (no reported AOV)</t>
  </si>
  <si>
    <t xml:space="preserve">Revolve</t>
  </si>
  <si>
    <t xml:space="preserve">Rev: FY24 10-K. Visits: Semrush Oct-25; 20.8M visits/mo. Orders = revenue ÷ reported AOV</t>
  </si>
  <si>
    <t xml:space="preserve">Academy Sports + Outdoors</t>
  </si>
  <si>
    <t xml:space="preserve">Sporting goods &amp; outdoor</t>
  </si>
  <si>
    <t xml:space="preserve">Rev: derived 10.5% × FY24 sales. Visits: Similarweb Jun-25. Orders = visits × vertical CVR (no reported AOV)</t>
  </si>
  <si>
    <t xml:space="preserve">Newegg</t>
  </si>
  <si>
    <t xml:space="preserve">Consumer electronics</t>
  </si>
  <si>
    <t xml:space="preserve">Rev: 2024 net sales incl. intl. Visits: Semrush Aug-26. Orders = visits × vertical CVR (no reported AOV)</t>
  </si>
  <si>
    <t xml:space="preserve">ThredUp</t>
  </si>
  <si>
    <t xml:space="preserve">Rev: FY25 total. Visits: Semrush Aug-26. Orders = visits × vertical CVR (no reported AOV)</t>
  </si>
  <si>
    <t xml:space="preserve">Lands' End</t>
  </si>
  <si>
    <t xml:space="preserve">Rev: FY24 US eCommerce. Visits: Similarweb Apr-26. Orders = visits × vertical CVR (no reported AOV)</t>
  </si>
  <si>
    <t xml:space="preserve">Beyond (Bed Bath &amp; Beyond)</t>
  </si>
  <si>
    <t xml:space="preserve">Rev: FY24 ~$1.4B. Visits: Semrush Jun-26; 11.3M visits/mo. Orders = revenue ÷ reported AOV</t>
  </si>
  <si>
    <t xml:space="preserve">Torrid</t>
  </si>
  <si>
    <t xml:space="preserve">Rev: derived 61% × FY24 sales. Visits: Similarweb Aug-26. Orders = visits × vertical CVR (no reported AOV)</t>
  </si>
  <si>
    <t xml:space="preserve">CarParts.com</t>
  </si>
  <si>
    <t xml:space="preserve">Auto parts</t>
  </si>
  <si>
    <t xml:space="preserve">Rev: FY25. Visits: Similarweb (period unclear). Orders = visits × vertical CVR (no reported AOV)</t>
  </si>
  <si>
    <t xml:space="preserve">Brilliant Earth</t>
  </si>
  <si>
    <t xml:space="preserve">Rev: FY25 incl. showrooms. Visits: Similarweb Feb-26; 6.2M visits/mo. Orders = revenue ÷ reported AOV</t>
  </si>
  <si>
    <t xml:space="preserve">Stitch Fix</t>
  </si>
  <si>
    <t xml:space="preserve">Rev: FY25. Visits: Similarweb Sep-25 (subscription model). Orders = visits × vertical CVR (no reported AOV)</t>
  </si>
  <si>
    <t xml:space="preserve">FIGS</t>
  </si>
  <si>
    <t xml:space="preserve">Rev: FY24 10-K. Visits: Similarweb (month unclear); 5.0M visits/mo. Orders = revenue ÷ reported AOV</t>
  </si>
  <si>
    <t xml:space="preserve">Lulus</t>
  </si>
  <si>
    <t xml:space="preserve">Rev: FY25. Visits: Semrush Nov-25; 4.8M visits/mo. Orders = revenue ÷ reported AOV</t>
  </si>
  <si>
    <t xml:space="preserve">Duluth Trading</t>
  </si>
  <si>
    <t xml:space="preserve">Rev: FY25 DTC. Visits: Similarweb (period unclear). Orders = visits × vertical CVR (no reported AOV)</t>
  </si>
  <si>
    <t xml:space="preserve">Oddity (IL MAKIAGE)</t>
  </si>
  <si>
    <t xml:space="preserve">Rev: FY25 global. Visits: Similarweb Apr-26. Orders = visits × vertical CVR (no reported AOV)</t>
  </si>
  <si>
    <t xml:space="preserve">Tilly's</t>
  </si>
  <si>
    <t xml:space="preserve">Rev: FY25 e-com. Visits: Semrush Mar-26. Orders = visits × vertical CVR (no reported AOV)</t>
  </si>
  <si>
    <t xml:space="preserve">1-800-Flowers</t>
  </si>
  <si>
    <t xml:space="preserve">Other / unknown</t>
  </si>
  <si>
    <t xml:space="preserve">Rev: FY25 e-com incl. phone. Visits: Similarweb Apr-26 (looks low); 2.9M visits/mo. Orders = revenue ÷ reported AOV</t>
  </si>
  <si>
    <t xml:space="preserve">Signet (Kay/Zales/Jared)</t>
  </si>
  <si>
    <t xml:space="preserve">Rev: FY25 N. America eCom. Visits: kay.com only, 3-mo avg. Orders = visits × vertical CVR (no reported AOV)</t>
  </si>
  <si>
    <t xml:space="preserve">Destination XL</t>
  </si>
  <si>
    <t xml:space="preserve">Rev: FY25 direct. Visits: Similarweb Nov-24. Orders = visits × vertical CVR (no reported AOV)</t>
  </si>
  <si>
    <t xml:space="preserve">Grove Collaborative</t>
  </si>
  <si>
    <t xml:space="preserve">Rev: FY25. Visits: Similarweb Dec-24; 1.4M visits/mo. Orders = revenue ÷ reported AOV</t>
  </si>
  <si>
    <t xml:space="preserve">Allbirds</t>
  </si>
  <si>
    <t xml:space="preserve">Rev: FY25 total. Visits: Semrush Jan-26. Orders = visits × vertical CVR (no reported AOV)</t>
  </si>
  <si>
    <t xml:space="preserve">PetMed Express</t>
  </si>
  <si>
    <t xml:space="preserve">Pet</t>
  </si>
  <si>
    <t xml:space="preserve">Rev: FY25. Visits: Semrush Apr-26; 0.8M visits/mo. Orders = revenue ÷ reported AOV</t>
  </si>
  <si>
    <t xml:space="preserve">BARK</t>
  </si>
  <si>
    <t xml:space="preserve">Rev: FY26 DTC (subscription). Visits: Semrush Oct-25; 0.7M visits/mo. Orders = revenue ÷ reported AOV</t>
  </si>
  <si>
    <t xml:space="preserve">• How to read this: Part A is the ground truth. The two fast testers sit above 5,000 orders/week; the slow ones sit far below 1,500.</t>
  </si>
  <si>
    <t xml:space="preserve">• Revenue alone misleads: Bonobos tests fast on ~$79M/yr of tracked orders, while Brilliant Earth ($438M) lands in Tier 2 because a $2,000 AOV means few orders.</t>
  </si>
  <si>
    <t xml:space="preserve">• Orders tracked in PostHog may be only part of a customer's total online orders (Express: ~$164M/yr tracked). Thresholds are in Fastr-tracked orders, so treat them as minimums.</t>
  </si>
  <si>
    <t xml:space="preserve">• Part B data came from search-result summaries of 10-Ks, Similarweb and Semrush (direct pages were blocked). Spot-check before quoting externally.</t>
  </si>
  <si>
    <t xml:space="preserve">Single Prospect Calculator</t>
  </si>
  <si>
    <t xml:space="preserve">Use live on discovery calls. Fill whichever input you have; orders beat visitors beat revenue.</t>
  </si>
  <si>
    <t xml:space="preserve">INPUTS</t>
  </si>
  <si>
    <t xml:space="preserve">Example — Bonobos</t>
  </si>
  <si>
    <t xml:space="preserve">Monthly online orders</t>
  </si>
  <si>
    <t xml:space="preserve">Monthly visitors</t>
  </si>
  <si>
    <t xml:space="preserve">Annual US digital revenue ($M)</t>
  </si>
  <si>
    <t xml:space="preserve">Weekly micro-conversions (optional)</t>
  </si>
  <si>
    <t xml:space="preserve">RESULTS</t>
  </si>
  <si>
    <t xml:space="preserve">Orders basis</t>
  </si>
  <si>
    <t xml:space="preserve">Est. monthly orders</t>
  </si>
  <si>
    <t xml:space="preserve">Orders per week</t>
  </si>
  <si>
    <t xml:space="preserve">Weeks to read a bold lift (10%)</t>
  </si>
  <si>
    <t xml:space="preserve">Red if &gt; 8 weeks</t>
  </si>
  <si>
    <t xml:space="preserve">Weeks to read a typical lift (5%)</t>
  </si>
  <si>
    <t xml:space="preserve">Tests per year (bold lift, per surface)</t>
  </si>
  <si>
    <t xml:space="preserve">Recommended action</t>
  </si>
  <si>
    <t xml:space="preserve">Smallest lift readable in 4 weeks</t>
  </si>
  <si>
    <t xml:space="preserve">Lift at which conversions in 4 weeks meet the sample need</t>
  </si>
  <si>
    <t xml:space="preserve">Weeks to Read a Test, by Order Volume</t>
  </si>
  <si>
    <t xml:space="preserve">Uses confidence, power, variants and test share from Assumptions. Red = more than 8 weeks; green = 2 weeks or less.</t>
  </si>
  <si>
    <t xml:space="preserve">Orders per week ↓ / Lift →</t>
  </si>
  <si>
    <t xml:space="preserve">• Reference points (PostHog, Sep 2026): Express ~18,450 orders/wk · Bonobos ~5,140 · Ethan Allen ~280 · The 1916 Company ~12.</t>
  </si>
  <si>
    <t xml:space="preserve">• Rule of thumb: reading a 10% lift needs ~1,650 conversions per variant; a 5% lift needs ~6,450.</t>
  </si>
  <si>
    <t xml:space="preserve">• A low-order site can still test on a higher-volume goal (CTA clicks, leads): enter that weekly count in the orders column here to see the timing.</t>
  </si>
  <si>
    <t xml:space="preserve">Assumptions</t>
  </si>
  <si>
    <t xml:space="preserve">Global settings used by every tab. Blue cells are editable.</t>
  </si>
  <si>
    <t xml:space="preserve">Setting</t>
  </si>
  <si>
    <t xml:space="preserve">Value</t>
  </si>
  <si>
    <t xml:space="preserve">Why / source</t>
  </si>
  <si>
    <t xml:space="preserve">STATISTICS</t>
  </si>
  <si>
    <t xml:space="preserve">Confidence level (1 − α)</t>
  </si>
  <si>
    <t xml:space="preserve">Industry standard: 5% false-positive risk, two-sided.</t>
  </si>
  <si>
    <t xml:space="preserve">Statistical power (1 − β)</t>
  </si>
  <si>
    <t xml:space="preserve">Industry standard: 80% chance of detecting a real effect of the target size.</t>
  </si>
  <si>
    <t xml:space="preserve">Variants (incl. control)</t>
  </si>
  <si>
    <t xml:space="preserve">Simple A/B. Each extra variant needs a full extra sample.</t>
  </si>
  <si>
    <t xml:space="preserve">Share of buyers who enter a typical test</t>
  </si>
  <si>
    <t xml:space="preserve">PostHog, Sep 2026: Express tests reached 7–97% of visitors (median ~60%). 50% = a PDP/PLP-wide test.</t>
  </si>
  <si>
    <t xml:space="preserve">Bold-test lift (relative)</t>
  </si>
  <si>
    <t xml:space="preserve">A large change (layout, offer, navigation). Readable on mid-size sites.</t>
  </si>
  <si>
    <t xml:space="preserve">Typical-win lift (relative)</t>
  </si>
  <si>
    <t xml:space="preserve">Most real winning tests land at 2–8%. Reading these needs big volume.</t>
  </si>
  <si>
    <t xml:space="preserve">Minimum test length (weeks)</t>
  </si>
  <si>
    <t xml:space="preserve">Always run ≥ 2 full weeks to cover weekday/weekend cycles.</t>
  </si>
  <si>
    <t xml:space="preserve">Cap on tests per year (per surface)</t>
  </si>
  <si>
    <t xml:space="preserve">Practical ceiling: one test every 2 weeks per page group.</t>
  </si>
  <si>
    <t xml:space="preserve">TIER THRESHOLDS (online orders per week)</t>
  </si>
  <si>
    <t xml:space="preserve">Tier 1 — min orders per week</t>
  </si>
  <si>
    <t xml:space="preserve">Calibrated on PostHog: Express ~18,450/wk and Bonobos ~5,140/wk both test fast. Reads a 10% lift in ~1 week, a 5% lift in ~5.</t>
  </si>
  <si>
    <t xml:space="preserve">Tier 2 — min orders per week</t>
  </si>
  <si>
    <t xml:space="preserve">Reads a 10% lift in ~4 weeks at a 50% test share. Below this, purchase tests stall (Ethan Allen ~280/wk, The 1916 Company ~12/wk).</t>
  </si>
  <si>
    <t xml:space="preserve">ESTIMATION FALLBACKS (used only when monthly orders are unknown)</t>
  </si>
  <si>
    <t xml:space="preserve">Default conversion rate (visitors → orders)</t>
  </si>
  <si>
    <t xml:space="preserve">US overall ~1.6–2.1% (Salesforce Shopping Index, 2025–26). Vertical rates below override it.</t>
  </si>
  <si>
    <t xml:space="preserve">Default AOV ($)</t>
  </si>
  <si>
    <t xml:space="preserve">US mid-market midpoint ~$120–160 (Dynamic Yield Americas, Salesforce, Littledata).</t>
  </si>
  <si>
    <t xml:space="preserve">DERIVED (do not edit)</t>
  </si>
  <si>
    <t xml:space="preserve">Z (1 − α/2)</t>
  </si>
  <si>
    <t xml:space="preserve">1.960 at 95% confidence.</t>
  </si>
  <si>
    <t xml:space="preserve">Z (1 − β)</t>
  </si>
  <si>
    <t xml:space="preserve">0.842 at 80% power.</t>
  </si>
  <si>
    <t xml:space="preserve">(Zα + Zβ)²</t>
  </si>
  <si>
    <t xml:space="preserve">Sample-size multiplier (7.85 at defaults).</t>
  </si>
  <si>
    <t xml:space="preserve">Conversions needed per variant — bold lift</t>
  </si>
  <si>
    <t xml:space="preserve">Two-proportion z-test as conversion rate → small. Slightly conservative.</t>
  </si>
  <si>
    <t xml:space="preserve">Conversions needed per variant — typical lift</t>
  </si>
  <si>
    <t xml:space="preserve">Same formula at the typical-win lift.</t>
  </si>
  <si>
    <t xml:space="preserve">Weeks per month</t>
  </si>
  <si>
    <t xml:space="preserve">VERTICAL BENCHMARKS (directional — from public benchmark summaries, 2025–26)</t>
  </si>
  <si>
    <t xml:space="preserve">Conv. rate</t>
  </si>
  <si>
    <t xml:space="preserve">Source</t>
  </si>
  <si>
    <t xml:space="preserve">Dynamic Yield 2.8%, Littledata 1.3%/$98, IRP 1.7%</t>
  </si>
  <si>
    <t xml:space="preserve">Dynamic Yield 5.4%/$85, Littledata 2.6%/$66</t>
  </si>
  <si>
    <t xml:space="preserve">Dynamic Yield 1.2%/$302, Littledata 0.8%/$239</t>
  </si>
  <si>
    <t xml:space="preserve">Dynamic Yield 0.7%/$364</t>
  </si>
  <si>
    <t xml:space="preserve">Triple Whale 1.5%; AOV unverified</t>
  </si>
  <si>
    <t xml:space="preserve">Triple Whale 1.8%/$114, IRP 2.0%</t>
  </si>
  <si>
    <t xml:space="preserve">Triple Whale 2.4%, IRP 2.7%</t>
  </si>
  <si>
    <t xml:space="preserve">Food &amp; beverage</t>
  </si>
  <si>
    <t xml:space="preserve">Wide range (1.3–6.2%); midpoint</t>
  </si>
  <si>
    <t xml:space="preserve">Mass merchant / multi-brand</t>
  </si>
  <si>
    <t xml:space="preserve">Dynamic Yield multi-brand 3.0%/$116</t>
  </si>
  <si>
    <t xml:space="preserve">Aggregator only — weak</t>
  </si>
  <si>
    <t xml:space="preserve">B2B / industrial supply</t>
  </si>
  <si>
    <t xml:space="preserve">Uses the defaults above</t>
  </si>
  <si>
    <t xml:space="preserve">Sources: marketing.dynamicyield.com/benchmarks · littledata.io/average-website-performance · triplewhale.com/blog/ecommerce-benchmarks · irpcommerce.com · salesforce.com shopping-index. Read via search summaries; spot-check before quoting.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</si>
</sst>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"/>
    <numFmt numFmtId="167" formatCode="0.0"/>
    <numFmt numFmtId="168" formatCode="0"/>
    <numFmt numFmtId="169" formatCode="0.0%"/>
    <numFmt numFmtId="170" formatCode="0%"/>
    <numFmt numFmtId="171" formatCode="0.0&quot; wk&quot;"/>
    <numFmt numFmtId="172" formatCode="0.000"/>
    <numFmt numFmtId="173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12121"/>
      <name val="Montserrat"/>
      <family val="0"/>
      <charset val="1"/>
    </font>
    <font>
      <i val="true"/>
      <sz val="10"/>
      <color rgb="FF5A6472"/>
      <name val="Nunito"/>
      <family val="0"/>
      <charset val="1"/>
    </font>
    <font>
      <b val="true"/>
      <sz val="12"/>
      <color rgb="FF164195"/>
      <name val="Montserrat"/>
      <family val="0"/>
      <charset val="1"/>
    </font>
    <font>
      <b val="true"/>
      <sz val="10"/>
      <color rgb="FF212121"/>
      <name val="Nunito"/>
      <family val="0"/>
      <charset val="1"/>
    </font>
    <font>
      <sz val="10"/>
      <color rgb="FF212121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name val="Arial"/>
      <family val="2"/>
    </font>
    <font>
      <sz val="9"/>
      <color rgb="FF5A6472"/>
      <name val="Nunito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F1F1"/>
        <bgColor rgb="FFE4E7EC"/>
      </patternFill>
    </fill>
    <fill>
      <patternFill patternType="solid">
        <fgColor rgb="FF08A67E"/>
        <bgColor rgb="FF008080"/>
      </patternFill>
    </fill>
    <fill>
      <patternFill patternType="solid">
        <fgColor rgb="FFF3B113"/>
        <bgColor rgb="FFFFCC00"/>
      </patternFill>
    </fill>
    <fill>
      <patternFill patternType="solid">
        <fgColor rgb="FFC3204C"/>
        <bgColor rgb="FF993366"/>
      </patternFill>
    </fill>
    <fill>
      <patternFill patternType="solid">
        <fgColor rgb="FF164195"/>
        <bgColor rgb="FF003366"/>
      </patternFill>
    </fill>
    <fill>
      <patternFill patternType="solid">
        <fgColor rgb="FF1C2A39"/>
        <bgColor rgb="FF21212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0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64195"/>
          <bgColor rgb="FF000000"/>
        </patternFill>
      </fill>
    </dxf>
    <dxf>
      <fill>
        <patternFill patternType="solid">
          <fgColor rgb="FFF1F1F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A3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12121"/>
          <bgColor rgb="FF000000"/>
        </patternFill>
      </fill>
    </dxf>
    <dxf>
      <fill>
        <patternFill patternType="solid">
          <fgColor rgb="FFC3204C"/>
          <bgColor rgb="FF000000"/>
        </patternFill>
      </fill>
    </dxf>
    <dxf>
      <fill>
        <patternFill patternType="solid">
          <fgColor rgb="FF08A67E"/>
          <bgColor rgb="FF000000"/>
        </patternFill>
      </fill>
    </dxf>
    <dxf>
      <fill>
        <patternFill patternType="solid">
          <fgColor rgb="FFF3B113"/>
          <bgColor rgb="FF000000"/>
        </patternFill>
      </fill>
    </dxf>
    <dxf>
      <font>
        <b val="1"/>
        <color rgb="FFFFFFFF"/>
      </font>
      <fill>
        <patternFill>
          <bgColor rgb="FF08A67E"/>
        </patternFill>
      </fill>
    </dxf>
    <dxf>
      <font>
        <b val="1"/>
        <color rgb="FFFFFFFF"/>
      </font>
      <fill>
        <patternFill>
          <bgColor rgb="FFF3B113"/>
        </patternFill>
      </fill>
    </dxf>
    <dxf>
      <font>
        <b val="1"/>
        <color rgb="FFFFFFFF"/>
      </font>
      <fill>
        <patternFill>
          <bgColor rgb="FFC3204C"/>
        </patternFill>
      </fill>
    </dxf>
    <dxf>
      <font>
        <b val="1"/>
        <color rgb="FFC3204C"/>
      </font>
    </dxf>
    <dxf>
      <font>
        <b val="1"/>
        <color rgb="FF08A67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3204C"/>
      <rgbColor rgb="FFF1F1F1"/>
      <rgbColor rgb="FFE4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95FF4"/>
      <rgbColor rgb="FF33CCCC"/>
      <rgbColor rgb="FF99CC00"/>
      <rgbColor rgb="FFFFCC00"/>
      <rgbColor rgb="FFF3B113"/>
      <rgbColor rgb="FFFF6600"/>
      <rgbColor rgb="FF5A6472"/>
      <rgbColor rgb="FF969696"/>
      <rgbColor rgb="FF003366"/>
      <rgbColor rgb="FF08A67E"/>
      <rgbColor rgb="FF003300"/>
      <rgbColor rgb="FF212121"/>
      <rgbColor rgb="FF993300"/>
      <rgbColor rgb="FF993366"/>
      <rgbColor rgb="FF164195"/>
      <rgbColor rgb="FF1C2A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45" hidden="false" customHeight="tru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3" t="s">
        <v>5</v>
      </c>
    </row>
    <row r="8" customFormat="false" ht="45" hidden="false" customHeight="true" outlineLevel="0" collapsed="false">
      <c r="B8" s="4" t="s">
        <v>6</v>
      </c>
      <c r="C8" s="5" t="s">
        <v>7</v>
      </c>
    </row>
    <row r="9" customFormat="false" ht="30" hidden="false" customHeight="true" outlineLevel="0" collapsed="false">
      <c r="B9" s="4" t="s">
        <v>8</v>
      </c>
      <c r="C9" s="5" t="s">
        <v>9</v>
      </c>
    </row>
    <row r="10" customFormat="false" ht="30" hidden="false" customHeight="true" outlineLevel="0" collapsed="false">
      <c r="B10" s="4" t="s">
        <v>10</v>
      </c>
      <c r="C10" s="5" t="s">
        <v>11</v>
      </c>
    </row>
    <row r="11" customFormat="false" ht="15" hidden="false" customHeight="tru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3" t="s">
        <v>14</v>
      </c>
    </row>
    <row r="13" customFormat="false" ht="15" hidden="false" customHeight="true" outlineLevel="0" collapsed="false">
      <c r="B13" s="6" t="s">
        <v>15</v>
      </c>
      <c r="C13" s="5" t="s">
        <v>16</v>
      </c>
    </row>
    <row r="14" customFormat="false" ht="15" hidden="false" customHeight="true" outlineLevel="0" collapsed="false">
      <c r="B14" s="4" t="s">
        <v>17</v>
      </c>
      <c r="C14" s="5" t="s">
        <v>18</v>
      </c>
    </row>
    <row r="15" customFormat="false" ht="15" hidden="false" customHeight="false" outlineLevel="0" collapsed="false">
      <c r="B15" s="3" t="s">
        <v>19</v>
      </c>
    </row>
    <row r="16" customFormat="false" ht="30" hidden="false" customHeight="true" outlineLevel="0" collapsed="false">
      <c r="B16" s="7" t="s">
        <v>20</v>
      </c>
      <c r="C16" s="5" t="s">
        <v>21</v>
      </c>
    </row>
    <row r="17" customFormat="false" ht="30" hidden="false" customHeight="true" outlineLevel="0" collapsed="false">
      <c r="B17" s="8" t="s">
        <v>22</v>
      </c>
      <c r="C17" s="5" t="s">
        <v>23</v>
      </c>
    </row>
    <row r="18" customFormat="false" ht="30" hidden="false" customHeight="true" outlineLevel="0" collapsed="false">
      <c r="B18" s="9" t="s">
        <v>24</v>
      </c>
      <c r="C18" s="5" t="s">
        <v>25</v>
      </c>
    </row>
    <row r="19" customFormat="false" ht="15" hidden="false" customHeight="false" outlineLevel="0" collapsed="false">
      <c r="B19" s="3" t="s">
        <v>26</v>
      </c>
    </row>
    <row r="20" customFormat="false" ht="30" hidden="false" customHeight="true" outlineLevel="0" collapsed="false">
      <c r="B20" s="4" t="s">
        <v>27</v>
      </c>
      <c r="C20" s="5" t="s">
        <v>28</v>
      </c>
    </row>
    <row r="21" customFormat="false" ht="30" hidden="false" customHeight="true" outlineLevel="0" collapsed="false">
      <c r="B21" s="4" t="s">
        <v>29</v>
      </c>
      <c r="C21" s="5" t="s">
        <v>30</v>
      </c>
    </row>
    <row r="22" customFormat="false" ht="30" hidden="false" customHeight="true" outlineLevel="0" collapsed="false">
      <c r="B22" s="4" t="s">
        <v>31</v>
      </c>
      <c r="C22" s="5" t="s">
        <v>32</v>
      </c>
    </row>
    <row r="23" customFormat="false" ht="15" hidden="false" customHeight="false" outlineLevel="0" collapsed="false">
      <c r="B23" s="3" t="s">
        <v>33</v>
      </c>
    </row>
    <row r="24" customFormat="false" ht="30" hidden="false" customHeight="true" outlineLevel="0" collapsed="false">
      <c r="B24" s="4" t="s">
        <v>34</v>
      </c>
      <c r="C24" s="5" t="s">
        <v>35</v>
      </c>
    </row>
    <row r="25" customFormat="false" ht="15" hidden="false" customHeight="true" outlineLevel="0" collapsed="false">
      <c r="B25" s="4" t="s">
        <v>36</v>
      </c>
      <c r="C25" s="5" t="s">
        <v>37</v>
      </c>
    </row>
    <row r="26" customFormat="false" ht="30" hidden="false" customHeight="true" outlineLevel="0" collapsed="false">
      <c r="B26" s="4" t="s">
        <v>38</v>
      </c>
      <c r="C26" s="5" t="s">
        <v>39</v>
      </c>
    </row>
    <row r="27" customFormat="false" ht="30" hidden="false" customHeight="true" outlineLevel="0" collapsed="false">
      <c r="B27" s="4" t="s">
        <v>40</v>
      </c>
      <c r="C27" s="5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S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5" min="3" style="0" width="13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2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52"/>
    <col collapsed="false" customWidth="true" hidden="false" outlineLevel="0" max="17" min="17" style="0" width="3"/>
    <col collapsed="false" customWidth="true" hidden="false" outlineLevel="0" max="18" min="18" style="0" width="16"/>
    <col collapsed="false" customWidth="true" hidden="false" outlineLevel="0" max="19" min="19" style="0" width="9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8" hidden="false" customHeight="tru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0" t="s">
        <v>48</v>
      </c>
      <c r="F4" s="10" t="s">
        <v>49</v>
      </c>
      <c r="G4" s="10" t="s">
        <v>50</v>
      </c>
      <c r="H4" s="10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R4" s="12" t="s">
        <v>60</v>
      </c>
      <c r="S4" s="12" t="s">
        <v>61</v>
      </c>
    </row>
    <row r="5" customFormat="false" ht="15" hidden="false" customHeight="false" outlineLevel="0" collapsed="false">
      <c r="A5" s="13" t="s">
        <v>62</v>
      </c>
      <c r="B5" s="13" t="s">
        <v>63</v>
      </c>
      <c r="C5" s="14"/>
      <c r="D5" s="14"/>
      <c r="E5" s="15" t="n">
        <v>438</v>
      </c>
      <c r="F5" s="15" t="n">
        <v>2082</v>
      </c>
      <c r="G5" s="14"/>
      <c r="H5" s="13" t="s">
        <v>64</v>
      </c>
      <c r="I5" s="16" t="str">
        <f aca="false">IF($C5&lt;&gt;"","Actual orders",IF($D5&lt;&gt;"","Est. from traffic",IF($E5&lt;&gt;"","Est. from revenue","")))</f>
        <v>Est. from revenue</v>
      </c>
      <c r="J5" s="17" t="n">
        <f aca="false">IF($C5&lt;&gt;"",$C5,IF($D5&lt;&gt;"",$D5*IFERROR(INDEX(Assumptions!$C$31:$C$42,MATCH($B5,Assumptions!$B$31:$B$42,0)),Assumptions!$C$19),IF($E5&lt;&gt;"",$E5*1000000/12/IF($F5&lt;&gt;"",$F5,IFERROR(INDEX(Assumptions!$D$31:$D$42,MATCH($B5,Assumptions!$B$31:$B$42,0)),Assumptions!$C$20)),"")))</f>
        <v>17531.2199807877</v>
      </c>
      <c r="K5" s="17" t="n">
        <f aca="false">IF($J5="","",$J5/Assumptions!$C$27)</f>
        <v>4045.66614941255</v>
      </c>
      <c r="L5" s="18" t="n">
        <f aca="false">IF($K5="","",MAX(Assumptions!$C$9*Assumptions!$C$25/($K5*Assumptions!$C$10),0))</f>
        <v>1.62965967367589</v>
      </c>
      <c r="M5" s="18" t="n">
        <f aca="false">IF($K5="","",MAX(Assumptions!$C$9*Assumptions!$C$26/($K5*Assumptions!$C$10),0))</f>
        <v>6.36343301149632</v>
      </c>
      <c r="N5" s="19" t="n">
        <f aca="false">IF($K5="","",MIN(Assumptions!$C$14,52/MAX(Assumptions!$C$9*Assumptions!$C$25/($K5*Assumptions!$C$10),Assumptions!$C$13)))</f>
        <v>26</v>
      </c>
      <c r="O5" s="20" t="str">
        <f aca="false">IF($K5="","",IF($K5&gt;=Assumptions!$C$16,"Tier 1",IF($K5&gt;=Assumptions!$C$17,"Tier 2",IF(AND($G5&lt;&gt;"",$G5&gt;=Assumptions!$C$17),"Tier 3 — micro-conversion tests only","Tier 3"))))</f>
        <v>Tier 2</v>
      </c>
      <c r="P5" s="16" t="str">
        <f aca="false">IF(O5="","",IF(LEFT(O5,6)="Tier 1","Pursue — offer trial; 2-week tests on purchase metrics",IF(LEFT(O5,6)="Tier 2","Qualify — trial on top-traffic pages only; bold tests (≥10% lift)",IF(O5="Tier 3","Don't trial A/B — nurture or sell non-testing services","Trial only if tests are scored on CTA clicks / leads, not purchases"))))</f>
        <v>Qualify — trial on top-traffic pages only; bold tests (≥10% lift)</v>
      </c>
      <c r="R5" s="21" t="s">
        <v>65</v>
      </c>
      <c r="S5" s="16" t="n">
        <f aca="false">COUNTIF($O$5:$O$204,R5&amp;"*")</f>
        <v>1</v>
      </c>
    </row>
    <row r="6" customFormat="false" ht="15" hidden="false" customHeight="false" outlineLevel="0" collapsed="false">
      <c r="A6" s="13" t="s">
        <v>66</v>
      </c>
      <c r="B6" s="13" t="s">
        <v>67</v>
      </c>
      <c r="C6" s="14"/>
      <c r="D6" s="14" t="n">
        <v>3090000</v>
      </c>
      <c r="E6" s="15"/>
      <c r="F6" s="15"/>
      <c r="G6" s="14"/>
      <c r="H6" s="13" t="s">
        <v>68</v>
      </c>
      <c r="I6" s="16" t="str">
        <f aca="false">IF($C6&lt;&gt;"","Actual orders",IF($D6&lt;&gt;"","Est. from traffic",IF($E6&lt;&gt;"","Est. from revenue","")))</f>
        <v>Est. from traffic</v>
      </c>
      <c r="J6" s="17" t="n">
        <f aca="false">IF($C6&lt;&gt;"",$C6,IF($D6&lt;&gt;"",$D6*IFERROR(INDEX(Assumptions!$C$31:$C$42,MATCH($B6,Assumptions!$B$31:$B$42,0)),Assumptions!$C$19),IF($E6&lt;&gt;"",$E6*1000000/12/IF($F6&lt;&gt;"",$F6,IFERROR(INDEX(Assumptions!$D$31:$D$42,MATCH($B6,Assumptions!$B$31:$B$42,0)),Assumptions!$C$20)),"")))</f>
        <v>61800</v>
      </c>
      <c r="K6" s="17" t="n">
        <f aca="false">IF($J6="","",$J6/Assumptions!$C$27)</f>
        <v>14261.5384615385</v>
      </c>
      <c r="L6" s="18" t="n">
        <f aca="false">IF($K6="","",MAX(Assumptions!$C$9*Assumptions!$C$25/($K6*Assumptions!$C$10),0))</f>
        <v>0.462296476262632</v>
      </c>
      <c r="M6" s="18" t="n">
        <f aca="false">IF($K6="","",MAX(Assumptions!$C$9*Assumptions!$C$26/($K6*Assumptions!$C$10),0))</f>
        <v>1.80515766921599</v>
      </c>
      <c r="N6" s="19" t="n">
        <f aca="false">IF($K6="","",MIN(Assumptions!$C$14,52/MAX(Assumptions!$C$9*Assumptions!$C$25/($K6*Assumptions!$C$10),Assumptions!$C$13)))</f>
        <v>26</v>
      </c>
      <c r="O6" s="20" t="str">
        <f aca="false">IF($K6="","",IF($K6&gt;=Assumptions!$C$16,"Tier 1",IF($K6&gt;=Assumptions!$C$17,"Tier 2",IF(AND($G6&lt;&gt;"",$G6&gt;=Assumptions!$C$17),"Tier 3 — micro-conversion tests only","Tier 3"))))</f>
        <v>Tier 1</v>
      </c>
      <c r="P6" s="16" t="str">
        <f aca="false">IF(O6="","",IF(LEFT(O6,6)="Tier 1","Pursue — offer trial; 2-week tests on purchase metrics",IF(LEFT(O6,6)="Tier 2","Qualify — trial on top-traffic pages only; bold tests (≥10% lift)",IF(O6="Tier 3","Don't trial A/B — nurture or sell non-testing services","Trial only if tests are scored on CTA clicks / leads, not purchases"))))</f>
        <v>Pursue — offer trial; 2-week tests on purchase metrics</v>
      </c>
      <c r="R6" s="22" t="s">
        <v>69</v>
      </c>
      <c r="S6" s="16" t="n">
        <f aca="false">COUNTIF($O$5:$O$204,R6&amp;"*")</f>
        <v>1</v>
      </c>
    </row>
    <row r="7" customFormat="false" ht="35.05" hidden="false" customHeight="false" outlineLevel="0" collapsed="false">
      <c r="A7" s="13" t="s">
        <v>70</v>
      </c>
      <c r="B7" s="13" t="s">
        <v>71</v>
      </c>
      <c r="C7" s="14" t="n">
        <v>1200</v>
      </c>
      <c r="D7" s="14"/>
      <c r="E7" s="15"/>
      <c r="F7" s="15"/>
      <c r="G7" s="14" t="n">
        <v>2500</v>
      </c>
      <c r="H7" s="13" t="s">
        <v>72</v>
      </c>
      <c r="I7" s="16" t="str">
        <f aca="false">IF($C7&lt;&gt;"","Actual orders",IF($D7&lt;&gt;"","Est. from traffic",IF($E7&lt;&gt;"","Est. from revenue","")))</f>
        <v>Actual orders</v>
      </c>
      <c r="J7" s="17" t="n">
        <f aca="false">IF($C7&lt;&gt;"",$C7,IF($D7&lt;&gt;"",$D7*IFERROR(INDEX(Assumptions!$C$31:$C$42,MATCH($B7,Assumptions!$B$31:$B$42,0)),Assumptions!$C$19),IF($E7&lt;&gt;"",$E7*1000000/12/IF($F7&lt;&gt;"",$F7,IFERROR(INDEX(Assumptions!$D$31:$D$42,MATCH($B7,Assumptions!$B$31:$B$42,0)),Assumptions!$C$20)),"")))</f>
        <v>1200</v>
      </c>
      <c r="K7" s="17" t="n">
        <f aca="false">IF($J7="","",$J7/Assumptions!$C$27)</f>
        <v>276.923076923077</v>
      </c>
      <c r="L7" s="18" t="n">
        <f aca="false">IF($K7="","",MAX(Assumptions!$C$9*Assumptions!$C$25/($K7*Assumptions!$C$10),0))</f>
        <v>23.8082685275256</v>
      </c>
      <c r="M7" s="18" t="n">
        <f aca="false">IF($K7="","",MAX(Assumptions!$C$9*Assumptions!$C$26/($K7*Assumptions!$C$10),0))</f>
        <v>92.9656199646236</v>
      </c>
      <c r="N7" s="19" t="n">
        <f aca="false">IF($K7="","",MIN(Assumptions!$C$14,52/MAX(Assumptions!$C$9*Assumptions!$C$25/($K7*Assumptions!$C$10),Assumptions!$C$13)))</f>
        <v>2.18411515057809</v>
      </c>
      <c r="O7" s="20" t="str">
        <f aca="false">IF($K7="","",IF($K7&gt;=Assumptions!$C$16,"Tier 1",IF($K7&gt;=Assumptions!$C$17,"Tier 2",IF(AND($G7&lt;&gt;"",$G7&gt;=Assumptions!$C$17),"Tier 3 — micro-conversion tests only","Tier 3"))))</f>
        <v>Tier 3 — micro-conversion tests only</v>
      </c>
      <c r="P7" s="16" t="str">
        <f aca="false">IF(O7="","",IF(LEFT(O7,6)="Tier 1","Pursue — offer trial; 2-week tests on purchase metrics",IF(LEFT(O7,6)="Tier 2","Qualify — trial on top-traffic pages only; bold tests (≥10% lift)",IF(O7="Tier 3","Don't trial A/B — nurture or sell non-testing services","Trial only if tests are scored on CTA clicks / leads, not purchases"))))</f>
        <v>Trial only if tests are scored on CTA clicks / leads, not purchases</v>
      </c>
      <c r="R7" s="23" t="s">
        <v>73</v>
      </c>
      <c r="S7" s="16" t="n">
        <f aca="false">COUNTIF($O$5:$O$204,R7&amp;"*")</f>
        <v>1</v>
      </c>
    </row>
    <row r="8" customFormat="false" ht="15" hidden="false" customHeight="false" outlineLevel="0" collapsed="false">
      <c r="A8" s="13"/>
      <c r="B8" s="13"/>
      <c r="C8" s="14"/>
      <c r="D8" s="14"/>
      <c r="E8" s="15"/>
      <c r="F8" s="15"/>
      <c r="G8" s="14"/>
      <c r="H8" s="13"/>
      <c r="I8" s="16" t="str">
        <f aca="false">IF($C8&lt;&gt;"","Actual orders",IF($D8&lt;&gt;"","Est. from traffic",IF($E8&lt;&gt;"","Est. from revenue","")))</f>
        <v/>
      </c>
      <c r="J8" s="17" t="str">
        <f aca="false">IF($C8&lt;&gt;"",$C8,IF($D8&lt;&gt;"",$D8*IFERROR(INDEX(Assumptions!$C$31:$C$42,MATCH($B8,Assumptions!$B$31:$B$42,0)),Assumptions!$C$19),IF($E8&lt;&gt;"",$E8*1000000/12/IF($F8&lt;&gt;"",$F8,IFERROR(INDEX(Assumptions!$D$31:$D$42,MATCH($B8,Assumptions!$B$31:$B$42,0)),Assumptions!$C$20)),"")))</f>
        <v/>
      </c>
      <c r="K8" s="17" t="str">
        <f aca="false">IF($J8="","",$J8/Assumptions!$C$27)</f>
        <v/>
      </c>
      <c r="L8" s="18" t="str">
        <f aca="false">IF($K8="","",MAX(Assumptions!$C$9*Assumptions!$C$25/($K8*Assumptions!$C$10),0))</f>
        <v/>
      </c>
      <c r="M8" s="18" t="str">
        <f aca="false">IF($K8="","",MAX(Assumptions!$C$9*Assumptions!$C$26/($K8*Assumptions!$C$10),0))</f>
        <v/>
      </c>
      <c r="N8" s="19" t="str">
        <f aca="false">IF($K8="","",MIN(Assumptions!$C$14,52/MAX(Assumptions!$C$9*Assumptions!$C$25/($K8*Assumptions!$C$10),Assumptions!$C$13)))</f>
        <v/>
      </c>
      <c r="O8" s="20" t="str">
        <f aca="false">IF($K8="","",IF($K8&gt;=Assumptions!$C$16,"Tier 1",IF($K8&gt;=Assumptions!$C$17,"Tier 2",IF(AND($G8&lt;&gt;"",$G8&gt;=Assumptions!$C$17),"Tier 3 — micro-conversion tests only","Tier 3"))))</f>
        <v/>
      </c>
      <c r="P8" s="16" t="str">
        <f aca="false">IF(O8="","",IF(LEFT(O8,6)="Tier 1","Pursue — offer trial; 2-week tests on purchase metrics",IF(LEFT(O8,6)="Tier 2","Qualify — trial on top-traffic pages only; bold tests (≥10% lift)",IF(O8="Tier 3","Don't trial A/B — nurture or sell non-testing services","Trial only if tests are scored on CTA clicks / leads, not purchases"))))</f>
        <v/>
      </c>
    </row>
    <row r="9" customFormat="false" ht="15" hidden="false" customHeight="false" outlineLevel="0" collapsed="false">
      <c r="A9" s="13"/>
      <c r="B9" s="13"/>
      <c r="C9" s="14"/>
      <c r="D9" s="14"/>
      <c r="E9" s="15"/>
      <c r="F9" s="15"/>
      <c r="G9" s="14"/>
      <c r="H9" s="13"/>
      <c r="I9" s="16" t="str">
        <f aca="false">IF($C9&lt;&gt;"","Actual orders",IF($D9&lt;&gt;"","Est. from traffic",IF($E9&lt;&gt;"","Est. from revenue","")))</f>
        <v/>
      </c>
      <c r="J9" s="17" t="str">
        <f aca="false">IF($C9&lt;&gt;"",$C9,IF($D9&lt;&gt;"",$D9*IFERROR(INDEX(Assumptions!$C$31:$C$42,MATCH($B9,Assumptions!$B$31:$B$42,0)),Assumptions!$C$19),IF($E9&lt;&gt;"",$E9*1000000/12/IF($F9&lt;&gt;"",$F9,IFERROR(INDEX(Assumptions!$D$31:$D$42,MATCH($B9,Assumptions!$B$31:$B$42,0)),Assumptions!$C$20)),"")))</f>
        <v/>
      </c>
      <c r="K9" s="17" t="str">
        <f aca="false">IF($J9="","",$J9/Assumptions!$C$27)</f>
        <v/>
      </c>
      <c r="L9" s="18" t="str">
        <f aca="false">IF($K9="","",MAX(Assumptions!$C$9*Assumptions!$C$25/($K9*Assumptions!$C$10),0))</f>
        <v/>
      </c>
      <c r="M9" s="18" t="str">
        <f aca="false">IF($K9="","",MAX(Assumptions!$C$9*Assumptions!$C$26/($K9*Assumptions!$C$10),0))</f>
        <v/>
      </c>
      <c r="N9" s="19" t="str">
        <f aca="false">IF($K9="","",MIN(Assumptions!$C$14,52/MAX(Assumptions!$C$9*Assumptions!$C$25/($K9*Assumptions!$C$10),Assumptions!$C$13)))</f>
        <v/>
      </c>
      <c r="O9" s="20" t="str">
        <f aca="false">IF($K9="","",IF($K9&gt;=Assumptions!$C$16,"Tier 1",IF($K9&gt;=Assumptions!$C$17,"Tier 2",IF(AND($G9&lt;&gt;"",$G9&gt;=Assumptions!$C$17),"Tier 3 — micro-conversion tests only","Tier 3"))))</f>
        <v/>
      </c>
      <c r="P9" s="16" t="str">
        <f aca="false">IF(O9="","",IF(LEFT(O9,6)="Tier 1","Pursue — offer trial; 2-week tests on purchase metrics",IF(LEFT(O9,6)="Tier 2","Qualify — trial on top-traffic pages only; bold tests (≥10% lift)",IF(O9="Tier 3","Don't trial A/B — nurture or sell non-testing services","Trial only if tests are scored on CTA clicks / leads, not purchases"))))</f>
        <v/>
      </c>
    </row>
    <row r="10" customFormat="false" ht="15" hidden="false" customHeight="false" outlineLevel="0" collapsed="false">
      <c r="A10" s="13"/>
      <c r="B10" s="13"/>
      <c r="C10" s="14"/>
      <c r="D10" s="14"/>
      <c r="E10" s="15"/>
      <c r="F10" s="15"/>
      <c r="G10" s="14"/>
      <c r="H10" s="13"/>
      <c r="I10" s="16" t="str">
        <f aca="false">IF($C10&lt;&gt;"","Actual orders",IF($D10&lt;&gt;"","Est. from traffic",IF($E10&lt;&gt;"","Est. from revenue","")))</f>
        <v/>
      </c>
      <c r="J10" s="17" t="str">
        <f aca="false">IF($C10&lt;&gt;"",$C10,IF($D10&lt;&gt;"",$D10*IFERROR(INDEX(Assumptions!$C$31:$C$42,MATCH($B10,Assumptions!$B$31:$B$42,0)),Assumptions!$C$19),IF($E10&lt;&gt;"",$E10*1000000/12/IF($F10&lt;&gt;"",$F10,IFERROR(INDEX(Assumptions!$D$31:$D$42,MATCH($B10,Assumptions!$B$31:$B$42,0)),Assumptions!$C$20)),"")))</f>
        <v/>
      </c>
      <c r="K10" s="17" t="str">
        <f aca="false">IF($J10="","",$J10/Assumptions!$C$27)</f>
        <v/>
      </c>
      <c r="L10" s="18" t="str">
        <f aca="false">IF($K10="","",MAX(Assumptions!$C$9*Assumptions!$C$25/($K10*Assumptions!$C$10),0))</f>
        <v/>
      </c>
      <c r="M10" s="18" t="str">
        <f aca="false">IF($K10="","",MAX(Assumptions!$C$9*Assumptions!$C$26/($K10*Assumptions!$C$10),0))</f>
        <v/>
      </c>
      <c r="N10" s="19" t="str">
        <f aca="false">IF($K10="","",MIN(Assumptions!$C$14,52/MAX(Assumptions!$C$9*Assumptions!$C$25/($K10*Assumptions!$C$10),Assumptions!$C$13)))</f>
        <v/>
      </c>
      <c r="O10" s="20" t="str">
        <f aca="false">IF($K10="","",IF($K10&gt;=Assumptions!$C$16,"Tier 1",IF($K10&gt;=Assumptions!$C$17,"Tier 2",IF(AND($G10&lt;&gt;"",$G10&gt;=Assumptions!$C$17),"Tier 3 — micro-conversion tests only","Tier 3"))))</f>
        <v/>
      </c>
      <c r="P10" s="16" t="str">
        <f aca="false">IF(O10="","",IF(LEFT(O10,6)="Tier 1","Pursue — offer trial; 2-week tests on purchase metrics",IF(LEFT(O10,6)="Tier 2","Qualify — trial on top-traffic pages only; bold tests (≥10% lift)",IF(O10="Tier 3","Don't trial A/B — nurture or sell non-testing services","Trial only if tests are scored on CTA clicks / leads, not purchases"))))</f>
        <v/>
      </c>
    </row>
    <row r="11" customFormat="false" ht="15" hidden="false" customHeight="false" outlineLevel="0" collapsed="false">
      <c r="A11" s="13"/>
      <c r="B11" s="13"/>
      <c r="C11" s="14"/>
      <c r="D11" s="14"/>
      <c r="E11" s="15"/>
      <c r="F11" s="15"/>
      <c r="G11" s="14"/>
      <c r="H11" s="13"/>
      <c r="I11" s="16" t="str">
        <f aca="false">IF($C11&lt;&gt;"","Actual orders",IF($D11&lt;&gt;"","Est. from traffic",IF($E11&lt;&gt;"","Est. from revenue","")))</f>
        <v/>
      </c>
      <c r="J11" s="17" t="str">
        <f aca="false">IF($C11&lt;&gt;"",$C11,IF($D11&lt;&gt;"",$D11*IFERROR(INDEX(Assumptions!$C$31:$C$42,MATCH($B11,Assumptions!$B$31:$B$42,0)),Assumptions!$C$19),IF($E11&lt;&gt;"",$E11*1000000/12/IF($F11&lt;&gt;"",$F11,IFERROR(INDEX(Assumptions!$D$31:$D$42,MATCH($B11,Assumptions!$B$31:$B$42,0)),Assumptions!$C$20)),"")))</f>
        <v/>
      </c>
      <c r="K11" s="17" t="str">
        <f aca="false">IF($J11="","",$J11/Assumptions!$C$27)</f>
        <v/>
      </c>
      <c r="L11" s="18" t="str">
        <f aca="false">IF($K11="","",MAX(Assumptions!$C$9*Assumptions!$C$25/($K11*Assumptions!$C$10),0))</f>
        <v/>
      </c>
      <c r="M11" s="18" t="str">
        <f aca="false">IF($K11="","",MAX(Assumptions!$C$9*Assumptions!$C$26/($K11*Assumptions!$C$10),0))</f>
        <v/>
      </c>
      <c r="N11" s="19" t="str">
        <f aca="false">IF($K11="","",MIN(Assumptions!$C$14,52/MAX(Assumptions!$C$9*Assumptions!$C$25/($K11*Assumptions!$C$10),Assumptions!$C$13)))</f>
        <v/>
      </c>
      <c r="O11" s="20" t="str">
        <f aca="false">IF($K11="","",IF($K11&gt;=Assumptions!$C$16,"Tier 1",IF($K11&gt;=Assumptions!$C$17,"Tier 2",IF(AND($G11&lt;&gt;"",$G11&gt;=Assumptions!$C$17),"Tier 3 — micro-conversion tests only","Tier 3"))))</f>
        <v/>
      </c>
      <c r="P11" s="16" t="str">
        <f aca="false">IF(O11="","",IF(LEFT(O11,6)="Tier 1","Pursue — offer trial; 2-week tests on purchase metrics",IF(LEFT(O11,6)="Tier 2","Qualify — trial on top-traffic pages only; bold tests (≥10% lift)",IF(O11="Tier 3","Don't trial A/B — nurture or sell non-testing services","Trial only if tests are scored on CTA clicks / leads, not purchases"))))</f>
        <v/>
      </c>
    </row>
    <row r="12" customFormat="false" ht="15" hidden="false" customHeight="false" outlineLevel="0" collapsed="false">
      <c r="A12" s="13"/>
      <c r="B12" s="13"/>
      <c r="C12" s="14"/>
      <c r="D12" s="14"/>
      <c r="E12" s="15"/>
      <c r="F12" s="15"/>
      <c r="G12" s="14"/>
      <c r="H12" s="13"/>
      <c r="I12" s="16" t="str">
        <f aca="false">IF($C12&lt;&gt;"","Actual orders",IF($D12&lt;&gt;"","Est. from traffic",IF($E12&lt;&gt;"","Est. from revenue","")))</f>
        <v/>
      </c>
      <c r="J12" s="17" t="str">
        <f aca="false">IF($C12&lt;&gt;"",$C12,IF($D12&lt;&gt;"",$D12*IFERROR(INDEX(Assumptions!$C$31:$C$42,MATCH($B12,Assumptions!$B$31:$B$42,0)),Assumptions!$C$19),IF($E12&lt;&gt;"",$E12*1000000/12/IF($F12&lt;&gt;"",$F12,IFERROR(INDEX(Assumptions!$D$31:$D$42,MATCH($B12,Assumptions!$B$31:$B$42,0)),Assumptions!$C$20)),"")))</f>
        <v/>
      </c>
      <c r="K12" s="17" t="str">
        <f aca="false">IF($J12="","",$J12/Assumptions!$C$27)</f>
        <v/>
      </c>
      <c r="L12" s="18" t="str">
        <f aca="false">IF($K12="","",MAX(Assumptions!$C$9*Assumptions!$C$25/($K12*Assumptions!$C$10),0))</f>
        <v/>
      </c>
      <c r="M12" s="18" t="str">
        <f aca="false">IF($K12="","",MAX(Assumptions!$C$9*Assumptions!$C$26/($K12*Assumptions!$C$10),0))</f>
        <v/>
      </c>
      <c r="N12" s="19" t="str">
        <f aca="false">IF($K12="","",MIN(Assumptions!$C$14,52/MAX(Assumptions!$C$9*Assumptions!$C$25/($K12*Assumptions!$C$10),Assumptions!$C$13)))</f>
        <v/>
      </c>
      <c r="O12" s="20" t="str">
        <f aca="false">IF($K12="","",IF($K12&gt;=Assumptions!$C$16,"Tier 1",IF($K12&gt;=Assumptions!$C$17,"Tier 2",IF(AND($G12&lt;&gt;"",$G12&gt;=Assumptions!$C$17),"Tier 3 — micro-conversion tests only","Tier 3"))))</f>
        <v/>
      </c>
      <c r="P12" s="16" t="str">
        <f aca="false">IF(O12="","",IF(LEFT(O12,6)="Tier 1","Pursue — offer trial; 2-week tests on purchase metrics",IF(LEFT(O12,6)="Tier 2","Qualify — trial on top-traffic pages only; bold tests (≥10% lift)",IF(O12="Tier 3","Don't trial A/B — nurture or sell non-testing services","Trial only if tests are scored on CTA clicks / leads, not purchases"))))</f>
        <v/>
      </c>
    </row>
    <row r="13" customFormat="false" ht="15" hidden="false" customHeight="false" outlineLevel="0" collapsed="false">
      <c r="A13" s="13"/>
      <c r="B13" s="13"/>
      <c r="C13" s="14"/>
      <c r="D13" s="14"/>
      <c r="E13" s="15"/>
      <c r="F13" s="15"/>
      <c r="G13" s="14"/>
      <c r="H13" s="13"/>
      <c r="I13" s="16" t="str">
        <f aca="false">IF($C13&lt;&gt;"","Actual orders",IF($D13&lt;&gt;"","Est. from traffic",IF($E13&lt;&gt;"","Est. from revenue","")))</f>
        <v/>
      </c>
      <c r="J13" s="17" t="str">
        <f aca="false">IF($C13&lt;&gt;"",$C13,IF($D13&lt;&gt;"",$D13*IFERROR(INDEX(Assumptions!$C$31:$C$42,MATCH($B13,Assumptions!$B$31:$B$42,0)),Assumptions!$C$19),IF($E13&lt;&gt;"",$E13*1000000/12/IF($F13&lt;&gt;"",$F13,IFERROR(INDEX(Assumptions!$D$31:$D$42,MATCH($B13,Assumptions!$B$31:$B$42,0)),Assumptions!$C$20)),"")))</f>
        <v/>
      </c>
      <c r="K13" s="17" t="str">
        <f aca="false">IF($J13="","",$J13/Assumptions!$C$27)</f>
        <v/>
      </c>
      <c r="L13" s="18" t="str">
        <f aca="false">IF($K13="","",MAX(Assumptions!$C$9*Assumptions!$C$25/($K13*Assumptions!$C$10),0))</f>
        <v/>
      </c>
      <c r="M13" s="18" t="str">
        <f aca="false">IF($K13="","",MAX(Assumptions!$C$9*Assumptions!$C$26/($K13*Assumptions!$C$10),0))</f>
        <v/>
      </c>
      <c r="N13" s="19" t="str">
        <f aca="false">IF($K13="","",MIN(Assumptions!$C$14,52/MAX(Assumptions!$C$9*Assumptions!$C$25/($K13*Assumptions!$C$10),Assumptions!$C$13)))</f>
        <v/>
      </c>
      <c r="O13" s="20" t="str">
        <f aca="false">IF($K13="","",IF($K13&gt;=Assumptions!$C$16,"Tier 1",IF($K13&gt;=Assumptions!$C$17,"Tier 2",IF(AND($G13&lt;&gt;"",$G13&gt;=Assumptions!$C$17),"Tier 3 — micro-conversion tests only","Tier 3"))))</f>
        <v/>
      </c>
      <c r="P13" s="16" t="str">
        <f aca="false">IF(O13="","",IF(LEFT(O13,6)="Tier 1","Pursue — offer trial; 2-week tests on purchase metrics",IF(LEFT(O13,6)="Tier 2","Qualify — trial on top-traffic pages only; bold tests (≥10% lift)",IF(O13="Tier 3","Don't trial A/B — nurture or sell non-testing services","Trial only if tests are scored on CTA clicks / leads, not purchases"))))</f>
        <v/>
      </c>
    </row>
    <row r="14" customFormat="false" ht="15" hidden="false" customHeight="false" outlineLevel="0" collapsed="false">
      <c r="A14" s="13"/>
      <c r="B14" s="13"/>
      <c r="C14" s="14"/>
      <c r="D14" s="14"/>
      <c r="E14" s="15"/>
      <c r="F14" s="15"/>
      <c r="G14" s="14"/>
      <c r="H14" s="13"/>
      <c r="I14" s="16" t="str">
        <f aca="false">IF($C14&lt;&gt;"","Actual orders",IF($D14&lt;&gt;"","Est. from traffic",IF($E14&lt;&gt;"","Est. from revenue","")))</f>
        <v/>
      </c>
      <c r="J14" s="17" t="str">
        <f aca="false">IF($C14&lt;&gt;"",$C14,IF($D14&lt;&gt;"",$D14*IFERROR(INDEX(Assumptions!$C$31:$C$42,MATCH($B14,Assumptions!$B$31:$B$42,0)),Assumptions!$C$19),IF($E14&lt;&gt;"",$E14*1000000/12/IF($F14&lt;&gt;"",$F14,IFERROR(INDEX(Assumptions!$D$31:$D$42,MATCH($B14,Assumptions!$B$31:$B$42,0)),Assumptions!$C$20)),"")))</f>
        <v/>
      </c>
      <c r="K14" s="17" t="str">
        <f aca="false">IF($J14="","",$J14/Assumptions!$C$27)</f>
        <v/>
      </c>
      <c r="L14" s="18" t="str">
        <f aca="false">IF($K14="","",MAX(Assumptions!$C$9*Assumptions!$C$25/($K14*Assumptions!$C$10),0))</f>
        <v/>
      </c>
      <c r="M14" s="18" t="str">
        <f aca="false">IF($K14="","",MAX(Assumptions!$C$9*Assumptions!$C$26/($K14*Assumptions!$C$10),0))</f>
        <v/>
      </c>
      <c r="N14" s="19" t="str">
        <f aca="false">IF($K14="","",MIN(Assumptions!$C$14,52/MAX(Assumptions!$C$9*Assumptions!$C$25/($K14*Assumptions!$C$10),Assumptions!$C$13)))</f>
        <v/>
      </c>
      <c r="O14" s="20" t="str">
        <f aca="false">IF($K14="","",IF($K14&gt;=Assumptions!$C$16,"Tier 1",IF($K14&gt;=Assumptions!$C$17,"Tier 2",IF(AND($G14&lt;&gt;"",$G14&gt;=Assumptions!$C$17),"Tier 3 — micro-conversion tests only","Tier 3"))))</f>
        <v/>
      </c>
      <c r="P14" s="16" t="str">
        <f aca="false">IF(O14="","",IF(LEFT(O14,6)="Tier 1","Pursue — offer trial; 2-week tests on purchase metrics",IF(LEFT(O14,6)="Tier 2","Qualify — trial on top-traffic pages only; bold tests (≥10% lift)",IF(O14="Tier 3","Don't trial A/B — nurture or sell non-testing services","Trial only if tests are scored on CTA clicks / leads, not purchases"))))</f>
        <v/>
      </c>
    </row>
    <row r="15" customFormat="false" ht="15" hidden="false" customHeight="false" outlineLevel="0" collapsed="false">
      <c r="A15" s="13"/>
      <c r="B15" s="13"/>
      <c r="C15" s="14"/>
      <c r="D15" s="14"/>
      <c r="E15" s="15"/>
      <c r="F15" s="15"/>
      <c r="G15" s="14"/>
      <c r="H15" s="13"/>
      <c r="I15" s="16" t="str">
        <f aca="false">IF($C15&lt;&gt;"","Actual orders",IF($D15&lt;&gt;"","Est. from traffic",IF($E15&lt;&gt;"","Est. from revenue","")))</f>
        <v/>
      </c>
      <c r="J15" s="17" t="str">
        <f aca="false">IF($C15&lt;&gt;"",$C15,IF($D15&lt;&gt;"",$D15*IFERROR(INDEX(Assumptions!$C$31:$C$42,MATCH($B15,Assumptions!$B$31:$B$42,0)),Assumptions!$C$19),IF($E15&lt;&gt;"",$E15*1000000/12/IF($F15&lt;&gt;"",$F15,IFERROR(INDEX(Assumptions!$D$31:$D$42,MATCH($B15,Assumptions!$B$31:$B$42,0)),Assumptions!$C$20)),"")))</f>
        <v/>
      </c>
      <c r="K15" s="17" t="str">
        <f aca="false">IF($J15="","",$J15/Assumptions!$C$27)</f>
        <v/>
      </c>
      <c r="L15" s="18" t="str">
        <f aca="false">IF($K15="","",MAX(Assumptions!$C$9*Assumptions!$C$25/($K15*Assumptions!$C$10),0))</f>
        <v/>
      </c>
      <c r="M15" s="18" t="str">
        <f aca="false">IF($K15="","",MAX(Assumptions!$C$9*Assumptions!$C$26/($K15*Assumptions!$C$10),0))</f>
        <v/>
      </c>
      <c r="N15" s="19" t="str">
        <f aca="false">IF($K15="","",MIN(Assumptions!$C$14,52/MAX(Assumptions!$C$9*Assumptions!$C$25/($K15*Assumptions!$C$10),Assumptions!$C$13)))</f>
        <v/>
      </c>
      <c r="O15" s="20" t="str">
        <f aca="false">IF($K15="","",IF($K15&gt;=Assumptions!$C$16,"Tier 1",IF($K15&gt;=Assumptions!$C$17,"Tier 2",IF(AND($G15&lt;&gt;"",$G15&gt;=Assumptions!$C$17),"Tier 3 — micro-conversion tests only","Tier 3"))))</f>
        <v/>
      </c>
      <c r="P15" s="16" t="str">
        <f aca="false">IF(O15="","",IF(LEFT(O15,6)="Tier 1","Pursue — offer trial; 2-week tests on purchase metrics",IF(LEFT(O15,6)="Tier 2","Qualify — trial on top-traffic pages only; bold tests (≥10% lift)",IF(O15="Tier 3","Don't trial A/B — nurture or sell non-testing services","Trial only if tests are scored on CTA clicks / leads, not purchases"))))</f>
        <v/>
      </c>
    </row>
    <row r="16" customFormat="false" ht="15" hidden="false" customHeight="false" outlineLevel="0" collapsed="false">
      <c r="A16" s="13"/>
      <c r="B16" s="13"/>
      <c r="C16" s="14"/>
      <c r="D16" s="14"/>
      <c r="E16" s="15"/>
      <c r="F16" s="15"/>
      <c r="G16" s="14"/>
      <c r="H16" s="13"/>
      <c r="I16" s="16" t="str">
        <f aca="false">IF($C16&lt;&gt;"","Actual orders",IF($D16&lt;&gt;"","Est. from traffic",IF($E16&lt;&gt;"","Est. from revenue","")))</f>
        <v/>
      </c>
      <c r="J16" s="17" t="str">
        <f aca="false">IF($C16&lt;&gt;"",$C16,IF($D16&lt;&gt;"",$D16*IFERROR(INDEX(Assumptions!$C$31:$C$42,MATCH($B16,Assumptions!$B$31:$B$42,0)),Assumptions!$C$19),IF($E16&lt;&gt;"",$E16*1000000/12/IF($F16&lt;&gt;"",$F16,IFERROR(INDEX(Assumptions!$D$31:$D$42,MATCH($B16,Assumptions!$B$31:$B$42,0)),Assumptions!$C$20)),"")))</f>
        <v/>
      </c>
      <c r="K16" s="17" t="str">
        <f aca="false">IF($J16="","",$J16/Assumptions!$C$27)</f>
        <v/>
      </c>
      <c r="L16" s="18" t="str">
        <f aca="false">IF($K16="","",MAX(Assumptions!$C$9*Assumptions!$C$25/($K16*Assumptions!$C$10),0))</f>
        <v/>
      </c>
      <c r="M16" s="18" t="str">
        <f aca="false">IF($K16="","",MAX(Assumptions!$C$9*Assumptions!$C$26/($K16*Assumptions!$C$10),0))</f>
        <v/>
      </c>
      <c r="N16" s="19" t="str">
        <f aca="false">IF($K16="","",MIN(Assumptions!$C$14,52/MAX(Assumptions!$C$9*Assumptions!$C$25/($K16*Assumptions!$C$10),Assumptions!$C$13)))</f>
        <v/>
      </c>
      <c r="O16" s="20" t="str">
        <f aca="false">IF($K16="","",IF($K16&gt;=Assumptions!$C$16,"Tier 1",IF($K16&gt;=Assumptions!$C$17,"Tier 2",IF(AND($G16&lt;&gt;"",$G16&gt;=Assumptions!$C$17),"Tier 3 — micro-conversion tests only","Tier 3"))))</f>
        <v/>
      </c>
      <c r="P16" s="16" t="str">
        <f aca="false">IF(O16="","",IF(LEFT(O16,6)="Tier 1","Pursue — offer trial; 2-week tests on purchase metrics",IF(LEFT(O16,6)="Tier 2","Qualify — trial on top-traffic pages only; bold tests (≥10% lift)",IF(O16="Tier 3","Don't trial A/B — nurture or sell non-testing services","Trial only if tests are scored on CTA clicks / leads, not purchases"))))</f>
        <v/>
      </c>
    </row>
    <row r="17" customFormat="false" ht="15" hidden="false" customHeight="false" outlineLevel="0" collapsed="false">
      <c r="A17" s="13"/>
      <c r="B17" s="13"/>
      <c r="C17" s="14"/>
      <c r="D17" s="14"/>
      <c r="E17" s="15"/>
      <c r="F17" s="15"/>
      <c r="G17" s="14"/>
      <c r="H17" s="13"/>
      <c r="I17" s="16" t="str">
        <f aca="false">IF($C17&lt;&gt;"","Actual orders",IF($D17&lt;&gt;"","Est. from traffic",IF($E17&lt;&gt;"","Est. from revenue","")))</f>
        <v/>
      </c>
      <c r="J17" s="17" t="str">
        <f aca="false">IF($C17&lt;&gt;"",$C17,IF($D17&lt;&gt;"",$D17*IFERROR(INDEX(Assumptions!$C$31:$C$42,MATCH($B17,Assumptions!$B$31:$B$42,0)),Assumptions!$C$19),IF($E17&lt;&gt;"",$E17*1000000/12/IF($F17&lt;&gt;"",$F17,IFERROR(INDEX(Assumptions!$D$31:$D$42,MATCH($B17,Assumptions!$B$31:$B$42,0)),Assumptions!$C$20)),"")))</f>
        <v/>
      </c>
      <c r="K17" s="17" t="str">
        <f aca="false">IF($J17="","",$J17/Assumptions!$C$27)</f>
        <v/>
      </c>
      <c r="L17" s="18" t="str">
        <f aca="false">IF($K17="","",MAX(Assumptions!$C$9*Assumptions!$C$25/($K17*Assumptions!$C$10),0))</f>
        <v/>
      </c>
      <c r="M17" s="18" t="str">
        <f aca="false">IF($K17="","",MAX(Assumptions!$C$9*Assumptions!$C$26/($K17*Assumptions!$C$10),0))</f>
        <v/>
      </c>
      <c r="N17" s="19" t="str">
        <f aca="false">IF($K17="","",MIN(Assumptions!$C$14,52/MAX(Assumptions!$C$9*Assumptions!$C$25/($K17*Assumptions!$C$10),Assumptions!$C$13)))</f>
        <v/>
      </c>
      <c r="O17" s="20" t="str">
        <f aca="false">IF($K17="","",IF($K17&gt;=Assumptions!$C$16,"Tier 1",IF($K17&gt;=Assumptions!$C$17,"Tier 2",IF(AND($G17&lt;&gt;"",$G17&gt;=Assumptions!$C$17),"Tier 3 — micro-conversion tests only","Tier 3"))))</f>
        <v/>
      </c>
      <c r="P17" s="16" t="str">
        <f aca="false">IF(O17="","",IF(LEFT(O17,6)="Tier 1","Pursue — offer trial; 2-week tests on purchase metrics",IF(LEFT(O17,6)="Tier 2","Qualify — trial on top-traffic pages only; bold tests (≥10% lift)",IF(O17="Tier 3","Don't trial A/B — nurture or sell non-testing services","Trial only if tests are scored on CTA clicks / leads, not purchases"))))</f>
        <v/>
      </c>
    </row>
    <row r="18" customFormat="false" ht="15" hidden="false" customHeight="false" outlineLevel="0" collapsed="false">
      <c r="A18" s="13"/>
      <c r="B18" s="13"/>
      <c r="C18" s="14"/>
      <c r="D18" s="14"/>
      <c r="E18" s="15"/>
      <c r="F18" s="15"/>
      <c r="G18" s="14"/>
      <c r="H18" s="13"/>
      <c r="I18" s="16" t="str">
        <f aca="false">IF($C18&lt;&gt;"","Actual orders",IF($D18&lt;&gt;"","Est. from traffic",IF($E18&lt;&gt;"","Est. from revenue","")))</f>
        <v/>
      </c>
      <c r="J18" s="17" t="str">
        <f aca="false">IF($C18&lt;&gt;"",$C18,IF($D18&lt;&gt;"",$D18*IFERROR(INDEX(Assumptions!$C$31:$C$42,MATCH($B18,Assumptions!$B$31:$B$42,0)),Assumptions!$C$19),IF($E18&lt;&gt;"",$E18*1000000/12/IF($F18&lt;&gt;"",$F18,IFERROR(INDEX(Assumptions!$D$31:$D$42,MATCH($B18,Assumptions!$B$31:$B$42,0)),Assumptions!$C$20)),"")))</f>
        <v/>
      </c>
      <c r="K18" s="17" t="str">
        <f aca="false">IF($J18="","",$J18/Assumptions!$C$27)</f>
        <v/>
      </c>
      <c r="L18" s="18" t="str">
        <f aca="false">IF($K18="","",MAX(Assumptions!$C$9*Assumptions!$C$25/($K18*Assumptions!$C$10),0))</f>
        <v/>
      </c>
      <c r="M18" s="18" t="str">
        <f aca="false">IF($K18="","",MAX(Assumptions!$C$9*Assumptions!$C$26/($K18*Assumptions!$C$10),0))</f>
        <v/>
      </c>
      <c r="N18" s="19" t="str">
        <f aca="false">IF($K18="","",MIN(Assumptions!$C$14,52/MAX(Assumptions!$C$9*Assumptions!$C$25/($K18*Assumptions!$C$10),Assumptions!$C$13)))</f>
        <v/>
      </c>
      <c r="O18" s="20" t="str">
        <f aca="false">IF($K18="","",IF($K18&gt;=Assumptions!$C$16,"Tier 1",IF($K18&gt;=Assumptions!$C$17,"Tier 2",IF(AND($G18&lt;&gt;"",$G18&gt;=Assumptions!$C$17),"Tier 3 — micro-conversion tests only","Tier 3"))))</f>
        <v/>
      </c>
      <c r="P18" s="16" t="str">
        <f aca="false">IF(O18="","",IF(LEFT(O18,6)="Tier 1","Pursue — offer trial; 2-week tests on purchase metrics",IF(LEFT(O18,6)="Tier 2","Qualify — trial on top-traffic pages only; bold tests (≥10% lift)",IF(O18="Tier 3","Don't trial A/B — nurture or sell non-testing services","Trial only if tests are scored on CTA clicks / leads, not purchases"))))</f>
        <v/>
      </c>
    </row>
    <row r="19" customFormat="false" ht="15" hidden="false" customHeight="false" outlineLevel="0" collapsed="false">
      <c r="A19" s="13"/>
      <c r="B19" s="13"/>
      <c r="C19" s="14"/>
      <c r="D19" s="14"/>
      <c r="E19" s="15"/>
      <c r="F19" s="15"/>
      <c r="G19" s="14"/>
      <c r="H19" s="13"/>
      <c r="I19" s="16" t="str">
        <f aca="false">IF($C19&lt;&gt;"","Actual orders",IF($D19&lt;&gt;"","Est. from traffic",IF($E19&lt;&gt;"","Est. from revenue","")))</f>
        <v/>
      </c>
      <c r="J19" s="17" t="str">
        <f aca="false">IF($C19&lt;&gt;"",$C19,IF($D19&lt;&gt;"",$D19*IFERROR(INDEX(Assumptions!$C$31:$C$42,MATCH($B19,Assumptions!$B$31:$B$42,0)),Assumptions!$C$19),IF($E19&lt;&gt;"",$E19*1000000/12/IF($F19&lt;&gt;"",$F19,IFERROR(INDEX(Assumptions!$D$31:$D$42,MATCH($B19,Assumptions!$B$31:$B$42,0)),Assumptions!$C$20)),"")))</f>
        <v/>
      </c>
      <c r="K19" s="17" t="str">
        <f aca="false">IF($J19="","",$J19/Assumptions!$C$27)</f>
        <v/>
      </c>
      <c r="L19" s="18" t="str">
        <f aca="false">IF($K19="","",MAX(Assumptions!$C$9*Assumptions!$C$25/($K19*Assumptions!$C$10),0))</f>
        <v/>
      </c>
      <c r="M19" s="18" t="str">
        <f aca="false">IF($K19="","",MAX(Assumptions!$C$9*Assumptions!$C$26/($K19*Assumptions!$C$10),0))</f>
        <v/>
      </c>
      <c r="N19" s="19" t="str">
        <f aca="false">IF($K19="","",MIN(Assumptions!$C$14,52/MAX(Assumptions!$C$9*Assumptions!$C$25/($K19*Assumptions!$C$10),Assumptions!$C$13)))</f>
        <v/>
      </c>
      <c r="O19" s="20" t="str">
        <f aca="false">IF($K19="","",IF($K19&gt;=Assumptions!$C$16,"Tier 1",IF($K19&gt;=Assumptions!$C$17,"Tier 2",IF(AND($G19&lt;&gt;"",$G19&gt;=Assumptions!$C$17),"Tier 3 — micro-conversion tests only","Tier 3"))))</f>
        <v/>
      </c>
      <c r="P19" s="16" t="str">
        <f aca="false">IF(O19="","",IF(LEFT(O19,6)="Tier 1","Pursue — offer trial; 2-week tests on purchase metrics",IF(LEFT(O19,6)="Tier 2","Qualify — trial on top-traffic pages only; bold tests (≥10% lift)",IF(O19="Tier 3","Don't trial A/B — nurture or sell non-testing services","Trial only if tests are scored on CTA clicks / leads, not purchases"))))</f>
        <v/>
      </c>
    </row>
    <row r="20" customFormat="false" ht="15" hidden="false" customHeight="false" outlineLevel="0" collapsed="false">
      <c r="A20" s="13"/>
      <c r="B20" s="13"/>
      <c r="C20" s="14"/>
      <c r="D20" s="14"/>
      <c r="E20" s="15"/>
      <c r="F20" s="15"/>
      <c r="G20" s="14"/>
      <c r="H20" s="13"/>
      <c r="I20" s="16" t="str">
        <f aca="false">IF($C20&lt;&gt;"","Actual orders",IF($D20&lt;&gt;"","Est. from traffic",IF($E20&lt;&gt;"","Est. from revenue","")))</f>
        <v/>
      </c>
      <c r="J20" s="17" t="str">
        <f aca="false">IF($C20&lt;&gt;"",$C20,IF($D20&lt;&gt;"",$D20*IFERROR(INDEX(Assumptions!$C$31:$C$42,MATCH($B20,Assumptions!$B$31:$B$42,0)),Assumptions!$C$19),IF($E20&lt;&gt;"",$E20*1000000/12/IF($F20&lt;&gt;"",$F20,IFERROR(INDEX(Assumptions!$D$31:$D$42,MATCH($B20,Assumptions!$B$31:$B$42,0)),Assumptions!$C$20)),"")))</f>
        <v/>
      </c>
      <c r="K20" s="17" t="str">
        <f aca="false">IF($J20="","",$J20/Assumptions!$C$27)</f>
        <v/>
      </c>
      <c r="L20" s="18" t="str">
        <f aca="false">IF($K20="","",MAX(Assumptions!$C$9*Assumptions!$C$25/($K20*Assumptions!$C$10),0))</f>
        <v/>
      </c>
      <c r="M20" s="18" t="str">
        <f aca="false">IF($K20="","",MAX(Assumptions!$C$9*Assumptions!$C$26/($K20*Assumptions!$C$10),0))</f>
        <v/>
      </c>
      <c r="N20" s="19" t="str">
        <f aca="false">IF($K20="","",MIN(Assumptions!$C$14,52/MAX(Assumptions!$C$9*Assumptions!$C$25/($K20*Assumptions!$C$10),Assumptions!$C$13)))</f>
        <v/>
      </c>
      <c r="O20" s="20" t="str">
        <f aca="false">IF($K20="","",IF($K20&gt;=Assumptions!$C$16,"Tier 1",IF($K20&gt;=Assumptions!$C$17,"Tier 2",IF(AND($G20&lt;&gt;"",$G20&gt;=Assumptions!$C$17),"Tier 3 — micro-conversion tests only","Tier 3"))))</f>
        <v/>
      </c>
      <c r="P20" s="16" t="str">
        <f aca="false">IF(O20="","",IF(LEFT(O20,6)="Tier 1","Pursue — offer trial; 2-week tests on purchase metrics",IF(LEFT(O20,6)="Tier 2","Qualify — trial on top-traffic pages only; bold tests (≥10% lift)",IF(O20="Tier 3","Don't trial A/B — nurture or sell non-testing services","Trial only if tests are scored on CTA clicks / leads, not purchases"))))</f>
        <v/>
      </c>
    </row>
    <row r="21" customFormat="false" ht="15" hidden="false" customHeight="false" outlineLevel="0" collapsed="false">
      <c r="A21" s="13"/>
      <c r="B21" s="13"/>
      <c r="C21" s="14"/>
      <c r="D21" s="14"/>
      <c r="E21" s="15"/>
      <c r="F21" s="15"/>
      <c r="G21" s="14"/>
      <c r="H21" s="13"/>
      <c r="I21" s="16" t="str">
        <f aca="false">IF($C21&lt;&gt;"","Actual orders",IF($D21&lt;&gt;"","Est. from traffic",IF($E21&lt;&gt;"","Est. from revenue","")))</f>
        <v/>
      </c>
      <c r="J21" s="17" t="str">
        <f aca="false">IF($C21&lt;&gt;"",$C21,IF($D21&lt;&gt;"",$D21*IFERROR(INDEX(Assumptions!$C$31:$C$42,MATCH($B21,Assumptions!$B$31:$B$42,0)),Assumptions!$C$19),IF($E21&lt;&gt;"",$E21*1000000/12/IF($F21&lt;&gt;"",$F21,IFERROR(INDEX(Assumptions!$D$31:$D$42,MATCH($B21,Assumptions!$B$31:$B$42,0)),Assumptions!$C$20)),"")))</f>
        <v/>
      </c>
      <c r="K21" s="17" t="str">
        <f aca="false">IF($J21="","",$J21/Assumptions!$C$27)</f>
        <v/>
      </c>
      <c r="L21" s="18" t="str">
        <f aca="false">IF($K21="","",MAX(Assumptions!$C$9*Assumptions!$C$25/($K21*Assumptions!$C$10),0))</f>
        <v/>
      </c>
      <c r="M21" s="18" t="str">
        <f aca="false">IF($K21="","",MAX(Assumptions!$C$9*Assumptions!$C$26/($K21*Assumptions!$C$10),0))</f>
        <v/>
      </c>
      <c r="N21" s="19" t="str">
        <f aca="false">IF($K21="","",MIN(Assumptions!$C$14,52/MAX(Assumptions!$C$9*Assumptions!$C$25/($K21*Assumptions!$C$10),Assumptions!$C$13)))</f>
        <v/>
      </c>
      <c r="O21" s="20" t="str">
        <f aca="false">IF($K21="","",IF($K21&gt;=Assumptions!$C$16,"Tier 1",IF($K21&gt;=Assumptions!$C$17,"Tier 2",IF(AND($G21&lt;&gt;"",$G21&gt;=Assumptions!$C$17),"Tier 3 — micro-conversion tests only","Tier 3"))))</f>
        <v/>
      </c>
      <c r="P21" s="16" t="str">
        <f aca="false">IF(O21="","",IF(LEFT(O21,6)="Tier 1","Pursue — offer trial; 2-week tests on purchase metrics",IF(LEFT(O21,6)="Tier 2","Qualify — trial on top-traffic pages only; bold tests (≥10% lift)",IF(O21="Tier 3","Don't trial A/B — nurture or sell non-testing services","Trial only if tests are scored on CTA clicks / leads, not purchases"))))</f>
        <v/>
      </c>
    </row>
    <row r="22" customFormat="false" ht="15" hidden="false" customHeight="false" outlineLevel="0" collapsed="false">
      <c r="A22" s="13"/>
      <c r="B22" s="13"/>
      <c r="C22" s="14"/>
      <c r="D22" s="14"/>
      <c r="E22" s="15"/>
      <c r="F22" s="15"/>
      <c r="G22" s="14"/>
      <c r="H22" s="13"/>
      <c r="I22" s="16" t="str">
        <f aca="false">IF($C22&lt;&gt;"","Actual orders",IF($D22&lt;&gt;"","Est. from traffic",IF($E22&lt;&gt;"","Est. from revenue","")))</f>
        <v/>
      </c>
      <c r="J22" s="17" t="str">
        <f aca="false">IF($C22&lt;&gt;"",$C22,IF($D22&lt;&gt;"",$D22*IFERROR(INDEX(Assumptions!$C$31:$C$42,MATCH($B22,Assumptions!$B$31:$B$42,0)),Assumptions!$C$19),IF($E22&lt;&gt;"",$E22*1000000/12/IF($F22&lt;&gt;"",$F22,IFERROR(INDEX(Assumptions!$D$31:$D$42,MATCH($B22,Assumptions!$B$31:$B$42,0)),Assumptions!$C$20)),"")))</f>
        <v/>
      </c>
      <c r="K22" s="17" t="str">
        <f aca="false">IF($J22="","",$J22/Assumptions!$C$27)</f>
        <v/>
      </c>
      <c r="L22" s="18" t="str">
        <f aca="false">IF($K22="","",MAX(Assumptions!$C$9*Assumptions!$C$25/($K22*Assumptions!$C$10),0))</f>
        <v/>
      </c>
      <c r="M22" s="18" t="str">
        <f aca="false">IF($K22="","",MAX(Assumptions!$C$9*Assumptions!$C$26/($K22*Assumptions!$C$10),0))</f>
        <v/>
      </c>
      <c r="N22" s="19" t="str">
        <f aca="false">IF($K22="","",MIN(Assumptions!$C$14,52/MAX(Assumptions!$C$9*Assumptions!$C$25/($K22*Assumptions!$C$10),Assumptions!$C$13)))</f>
        <v/>
      </c>
      <c r="O22" s="20" t="str">
        <f aca="false">IF($K22="","",IF($K22&gt;=Assumptions!$C$16,"Tier 1",IF($K22&gt;=Assumptions!$C$17,"Tier 2",IF(AND($G22&lt;&gt;"",$G22&gt;=Assumptions!$C$17),"Tier 3 — micro-conversion tests only","Tier 3"))))</f>
        <v/>
      </c>
      <c r="P22" s="16" t="str">
        <f aca="false">IF(O22="","",IF(LEFT(O22,6)="Tier 1","Pursue — offer trial; 2-week tests on purchase metrics",IF(LEFT(O22,6)="Tier 2","Qualify — trial on top-traffic pages only; bold tests (≥10% lift)",IF(O22="Tier 3","Don't trial A/B — nurture or sell non-testing services","Trial only if tests are scored on CTA clicks / leads, not purchases"))))</f>
        <v/>
      </c>
    </row>
    <row r="23" customFormat="false" ht="15" hidden="false" customHeight="false" outlineLevel="0" collapsed="false">
      <c r="A23" s="13"/>
      <c r="B23" s="13"/>
      <c r="C23" s="14"/>
      <c r="D23" s="14"/>
      <c r="E23" s="15"/>
      <c r="F23" s="15"/>
      <c r="G23" s="14"/>
      <c r="H23" s="13"/>
      <c r="I23" s="16" t="str">
        <f aca="false">IF($C23&lt;&gt;"","Actual orders",IF($D23&lt;&gt;"","Est. from traffic",IF($E23&lt;&gt;"","Est. from revenue","")))</f>
        <v/>
      </c>
      <c r="J23" s="17" t="str">
        <f aca="false">IF($C23&lt;&gt;"",$C23,IF($D23&lt;&gt;"",$D23*IFERROR(INDEX(Assumptions!$C$31:$C$42,MATCH($B23,Assumptions!$B$31:$B$42,0)),Assumptions!$C$19),IF($E23&lt;&gt;"",$E23*1000000/12/IF($F23&lt;&gt;"",$F23,IFERROR(INDEX(Assumptions!$D$31:$D$42,MATCH($B23,Assumptions!$B$31:$B$42,0)),Assumptions!$C$20)),"")))</f>
        <v/>
      </c>
      <c r="K23" s="17" t="str">
        <f aca="false">IF($J23="","",$J23/Assumptions!$C$27)</f>
        <v/>
      </c>
      <c r="L23" s="18" t="str">
        <f aca="false">IF($K23="","",MAX(Assumptions!$C$9*Assumptions!$C$25/($K23*Assumptions!$C$10),0))</f>
        <v/>
      </c>
      <c r="M23" s="18" t="str">
        <f aca="false">IF($K23="","",MAX(Assumptions!$C$9*Assumptions!$C$26/($K23*Assumptions!$C$10),0))</f>
        <v/>
      </c>
      <c r="N23" s="19" t="str">
        <f aca="false">IF($K23="","",MIN(Assumptions!$C$14,52/MAX(Assumptions!$C$9*Assumptions!$C$25/($K23*Assumptions!$C$10),Assumptions!$C$13)))</f>
        <v/>
      </c>
      <c r="O23" s="20" t="str">
        <f aca="false">IF($K23="","",IF($K23&gt;=Assumptions!$C$16,"Tier 1",IF($K23&gt;=Assumptions!$C$17,"Tier 2",IF(AND($G23&lt;&gt;"",$G23&gt;=Assumptions!$C$17),"Tier 3 — micro-conversion tests only","Tier 3"))))</f>
        <v/>
      </c>
      <c r="P23" s="16" t="str">
        <f aca="false">IF(O23="","",IF(LEFT(O23,6)="Tier 1","Pursue — offer trial; 2-week tests on purchase metrics",IF(LEFT(O23,6)="Tier 2","Qualify — trial on top-traffic pages only; bold tests (≥10% lift)",IF(O23="Tier 3","Don't trial A/B — nurture or sell non-testing services","Trial only if tests are scored on CTA clicks / leads, not purchases"))))</f>
        <v/>
      </c>
    </row>
    <row r="24" customFormat="false" ht="15" hidden="false" customHeight="false" outlineLevel="0" collapsed="false">
      <c r="A24" s="13"/>
      <c r="B24" s="13"/>
      <c r="C24" s="14"/>
      <c r="D24" s="14"/>
      <c r="E24" s="15"/>
      <c r="F24" s="15"/>
      <c r="G24" s="14"/>
      <c r="H24" s="13"/>
      <c r="I24" s="16" t="str">
        <f aca="false">IF($C24&lt;&gt;"","Actual orders",IF($D24&lt;&gt;"","Est. from traffic",IF($E24&lt;&gt;"","Est. from revenue","")))</f>
        <v/>
      </c>
      <c r="J24" s="17" t="str">
        <f aca="false">IF($C24&lt;&gt;"",$C24,IF($D24&lt;&gt;"",$D24*IFERROR(INDEX(Assumptions!$C$31:$C$42,MATCH($B24,Assumptions!$B$31:$B$42,0)),Assumptions!$C$19),IF($E24&lt;&gt;"",$E24*1000000/12/IF($F24&lt;&gt;"",$F24,IFERROR(INDEX(Assumptions!$D$31:$D$42,MATCH($B24,Assumptions!$B$31:$B$42,0)),Assumptions!$C$20)),"")))</f>
        <v/>
      </c>
      <c r="K24" s="17" t="str">
        <f aca="false">IF($J24="","",$J24/Assumptions!$C$27)</f>
        <v/>
      </c>
      <c r="L24" s="18" t="str">
        <f aca="false">IF($K24="","",MAX(Assumptions!$C$9*Assumptions!$C$25/($K24*Assumptions!$C$10),0))</f>
        <v/>
      </c>
      <c r="M24" s="18" t="str">
        <f aca="false">IF($K24="","",MAX(Assumptions!$C$9*Assumptions!$C$26/($K24*Assumptions!$C$10),0))</f>
        <v/>
      </c>
      <c r="N24" s="19" t="str">
        <f aca="false">IF($K24="","",MIN(Assumptions!$C$14,52/MAX(Assumptions!$C$9*Assumptions!$C$25/($K24*Assumptions!$C$10),Assumptions!$C$13)))</f>
        <v/>
      </c>
      <c r="O24" s="20" t="str">
        <f aca="false">IF($K24="","",IF($K24&gt;=Assumptions!$C$16,"Tier 1",IF($K24&gt;=Assumptions!$C$17,"Tier 2",IF(AND($G24&lt;&gt;"",$G24&gt;=Assumptions!$C$17),"Tier 3 — micro-conversion tests only","Tier 3"))))</f>
        <v/>
      </c>
      <c r="P24" s="16" t="str">
        <f aca="false">IF(O24="","",IF(LEFT(O24,6)="Tier 1","Pursue — offer trial; 2-week tests on purchase metrics",IF(LEFT(O24,6)="Tier 2","Qualify — trial on top-traffic pages only; bold tests (≥10% lift)",IF(O24="Tier 3","Don't trial A/B — nurture or sell non-testing services","Trial only if tests are scored on CTA clicks / leads, not purchases"))))</f>
        <v/>
      </c>
    </row>
    <row r="25" customFormat="false" ht="15" hidden="false" customHeight="false" outlineLevel="0" collapsed="false">
      <c r="A25" s="13"/>
      <c r="B25" s="13"/>
      <c r="C25" s="14"/>
      <c r="D25" s="14"/>
      <c r="E25" s="15"/>
      <c r="F25" s="15"/>
      <c r="G25" s="14"/>
      <c r="H25" s="13"/>
      <c r="I25" s="16" t="str">
        <f aca="false">IF($C25&lt;&gt;"","Actual orders",IF($D25&lt;&gt;"","Est. from traffic",IF($E25&lt;&gt;"","Est. from revenue","")))</f>
        <v/>
      </c>
      <c r="J25" s="17" t="str">
        <f aca="false">IF($C25&lt;&gt;"",$C25,IF($D25&lt;&gt;"",$D25*IFERROR(INDEX(Assumptions!$C$31:$C$42,MATCH($B25,Assumptions!$B$31:$B$42,0)),Assumptions!$C$19),IF($E25&lt;&gt;"",$E25*1000000/12/IF($F25&lt;&gt;"",$F25,IFERROR(INDEX(Assumptions!$D$31:$D$42,MATCH($B25,Assumptions!$B$31:$B$42,0)),Assumptions!$C$20)),"")))</f>
        <v/>
      </c>
      <c r="K25" s="17" t="str">
        <f aca="false">IF($J25="","",$J25/Assumptions!$C$27)</f>
        <v/>
      </c>
      <c r="L25" s="18" t="str">
        <f aca="false">IF($K25="","",MAX(Assumptions!$C$9*Assumptions!$C$25/($K25*Assumptions!$C$10),0))</f>
        <v/>
      </c>
      <c r="M25" s="18" t="str">
        <f aca="false">IF($K25="","",MAX(Assumptions!$C$9*Assumptions!$C$26/($K25*Assumptions!$C$10),0))</f>
        <v/>
      </c>
      <c r="N25" s="19" t="str">
        <f aca="false">IF($K25="","",MIN(Assumptions!$C$14,52/MAX(Assumptions!$C$9*Assumptions!$C$25/($K25*Assumptions!$C$10),Assumptions!$C$13)))</f>
        <v/>
      </c>
      <c r="O25" s="20" t="str">
        <f aca="false">IF($K25="","",IF($K25&gt;=Assumptions!$C$16,"Tier 1",IF($K25&gt;=Assumptions!$C$17,"Tier 2",IF(AND($G25&lt;&gt;"",$G25&gt;=Assumptions!$C$17),"Tier 3 — micro-conversion tests only","Tier 3"))))</f>
        <v/>
      </c>
      <c r="P25" s="16" t="str">
        <f aca="false">IF(O25="","",IF(LEFT(O25,6)="Tier 1","Pursue — offer trial; 2-week tests on purchase metrics",IF(LEFT(O25,6)="Tier 2","Qualify — trial on top-traffic pages only; bold tests (≥10% lift)",IF(O25="Tier 3","Don't trial A/B — nurture or sell non-testing services","Trial only if tests are scored on CTA clicks / leads, not purchases"))))</f>
        <v/>
      </c>
    </row>
    <row r="26" customFormat="false" ht="15" hidden="false" customHeight="false" outlineLevel="0" collapsed="false">
      <c r="A26" s="13"/>
      <c r="B26" s="13"/>
      <c r="C26" s="14"/>
      <c r="D26" s="14"/>
      <c r="E26" s="15"/>
      <c r="F26" s="15"/>
      <c r="G26" s="14"/>
      <c r="H26" s="13"/>
      <c r="I26" s="16" t="str">
        <f aca="false">IF($C26&lt;&gt;"","Actual orders",IF($D26&lt;&gt;"","Est. from traffic",IF($E26&lt;&gt;"","Est. from revenue","")))</f>
        <v/>
      </c>
      <c r="J26" s="17" t="str">
        <f aca="false">IF($C26&lt;&gt;"",$C26,IF($D26&lt;&gt;"",$D26*IFERROR(INDEX(Assumptions!$C$31:$C$42,MATCH($B26,Assumptions!$B$31:$B$42,0)),Assumptions!$C$19),IF($E26&lt;&gt;"",$E26*1000000/12/IF($F26&lt;&gt;"",$F26,IFERROR(INDEX(Assumptions!$D$31:$D$42,MATCH($B26,Assumptions!$B$31:$B$42,0)),Assumptions!$C$20)),"")))</f>
        <v/>
      </c>
      <c r="K26" s="17" t="str">
        <f aca="false">IF($J26="","",$J26/Assumptions!$C$27)</f>
        <v/>
      </c>
      <c r="L26" s="18" t="str">
        <f aca="false">IF($K26="","",MAX(Assumptions!$C$9*Assumptions!$C$25/($K26*Assumptions!$C$10),0))</f>
        <v/>
      </c>
      <c r="M26" s="18" t="str">
        <f aca="false">IF($K26="","",MAX(Assumptions!$C$9*Assumptions!$C$26/($K26*Assumptions!$C$10),0))</f>
        <v/>
      </c>
      <c r="N26" s="19" t="str">
        <f aca="false">IF($K26="","",MIN(Assumptions!$C$14,52/MAX(Assumptions!$C$9*Assumptions!$C$25/($K26*Assumptions!$C$10),Assumptions!$C$13)))</f>
        <v/>
      </c>
      <c r="O26" s="20" t="str">
        <f aca="false">IF($K26="","",IF($K26&gt;=Assumptions!$C$16,"Tier 1",IF($K26&gt;=Assumptions!$C$17,"Tier 2",IF(AND($G26&lt;&gt;"",$G26&gt;=Assumptions!$C$17),"Tier 3 — micro-conversion tests only","Tier 3"))))</f>
        <v/>
      </c>
      <c r="P26" s="16" t="str">
        <f aca="false">IF(O26="","",IF(LEFT(O26,6)="Tier 1","Pursue — offer trial; 2-week tests on purchase metrics",IF(LEFT(O26,6)="Tier 2","Qualify — trial on top-traffic pages only; bold tests (≥10% lift)",IF(O26="Tier 3","Don't trial A/B — nurture or sell non-testing services","Trial only if tests are scored on CTA clicks / leads, not purchases"))))</f>
        <v/>
      </c>
    </row>
    <row r="27" customFormat="false" ht="15" hidden="false" customHeight="false" outlineLevel="0" collapsed="false">
      <c r="A27" s="13"/>
      <c r="B27" s="13"/>
      <c r="C27" s="14"/>
      <c r="D27" s="14"/>
      <c r="E27" s="15"/>
      <c r="F27" s="15"/>
      <c r="G27" s="14"/>
      <c r="H27" s="13"/>
      <c r="I27" s="16" t="str">
        <f aca="false">IF($C27&lt;&gt;"","Actual orders",IF($D27&lt;&gt;"","Est. from traffic",IF($E27&lt;&gt;"","Est. from revenue","")))</f>
        <v/>
      </c>
      <c r="J27" s="17" t="str">
        <f aca="false">IF($C27&lt;&gt;"",$C27,IF($D27&lt;&gt;"",$D27*IFERROR(INDEX(Assumptions!$C$31:$C$42,MATCH($B27,Assumptions!$B$31:$B$42,0)),Assumptions!$C$19),IF($E27&lt;&gt;"",$E27*1000000/12/IF($F27&lt;&gt;"",$F27,IFERROR(INDEX(Assumptions!$D$31:$D$42,MATCH($B27,Assumptions!$B$31:$B$42,0)),Assumptions!$C$20)),"")))</f>
        <v/>
      </c>
      <c r="K27" s="17" t="str">
        <f aca="false">IF($J27="","",$J27/Assumptions!$C$27)</f>
        <v/>
      </c>
      <c r="L27" s="18" t="str">
        <f aca="false">IF($K27="","",MAX(Assumptions!$C$9*Assumptions!$C$25/($K27*Assumptions!$C$10),0))</f>
        <v/>
      </c>
      <c r="M27" s="18" t="str">
        <f aca="false">IF($K27="","",MAX(Assumptions!$C$9*Assumptions!$C$26/($K27*Assumptions!$C$10),0))</f>
        <v/>
      </c>
      <c r="N27" s="19" t="str">
        <f aca="false">IF($K27="","",MIN(Assumptions!$C$14,52/MAX(Assumptions!$C$9*Assumptions!$C$25/($K27*Assumptions!$C$10),Assumptions!$C$13)))</f>
        <v/>
      </c>
      <c r="O27" s="20" t="str">
        <f aca="false">IF($K27="","",IF($K27&gt;=Assumptions!$C$16,"Tier 1",IF($K27&gt;=Assumptions!$C$17,"Tier 2",IF(AND($G27&lt;&gt;"",$G27&gt;=Assumptions!$C$17),"Tier 3 — micro-conversion tests only","Tier 3"))))</f>
        <v/>
      </c>
      <c r="P27" s="16" t="str">
        <f aca="false">IF(O27="","",IF(LEFT(O27,6)="Tier 1","Pursue — offer trial; 2-week tests on purchase metrics",IF(LEFT(O27,6)="Tier 2","Qualify — trial on top-traffic pages only; bold tests (≥10% lift)",IF(O27="Tier 3","Don't trial A/B — nurture or sell non-testing services","Trial only if tests are scored on CTA clicks / leads, not purchases"))))</f>
        <v/>
      </c>
    </row>
    <row r="28" customFormat="false" ht="15" hidden="false" customHeight="false" outlineLevel="0" collapsed="false">
      <c r="A28" s="13"/>
      <c r="B28" s="13"/>
      <c r="C28" s="14"/>
      <c r="D28" s="14"/>
      <c r="E28" s="15"/>
      <c r="F28" s="15"/>
      <c r="G28" s="14"/>
      <c r="H28" s="13"/>
      <c r="I28" s="16" t="str">
        <f aca="false">IF($C28&lt;&gt;"","Actual orders",IF($D28&lt;&gt;"","Est. from traffic",IF($E28&lt;&gt;"","Est. from revenue","")))</f>
        <v/>
      </c>
      <c r="J28" s="17" t="str">
        <f aca="false">IF($C28&lt;&gt;"",$C28,IF($D28&lt;&gt;"",$D28*IFERROR(INDEX(Assumptions!$C$31:$C$42,MATCH($B28,Assumptions!$B$31:$B$42,0)),Assumptions!$C$19),IF($E28&lt;&gt;"",$E28*1000000/12/IF($F28&lt;&gt;"",$F28,IFERROR(INDEX(Assumptions!$D$31:$D$42,MATCH($B28,Assumptions!$B$31:$B$42,0)),Assumptions!$C$20)),"")))</f>
        <v/>
      </c>
      <c r="K28" s="17" t="str">
        <f aca="false">IF($J28="","",$J28/Assumptions!$C$27)</f>
        <v/>
      </c>
      <c r="L28" s="18" t="str">
        <f aca="false">IF($K28="","",MAX(Assumptions!$C$9*Assumptions!$C$25/($K28*Assumptions!$C$10),0))</f>
        <v/>
      </c>
      <c r="M28" s="18" t="str">
        <f aca="false">IF($K28="","",MAX(Assumptions!$C$9*Assumptions!$C$26/($K28*Assumptions!$C$10),0))</f>
        <v/>
      </c>
      <c r="N28" s="19" t="str">
        <f aca="false">IF($K28="","",MIN(Assumptions!$C$14,52/MAX(Assumptions!$C$9*Assumptions!$C$25/($K28*Assumptions!$C$10),Assumptions!$C$13)))</f>
        <v/>
      </c>
      <c r="O28" s="20" t="str">
        <f aca="false">IF($K28="","",IF($K28&gt;=Assumptions!$C$16,"Tier 1",IF($K28&gt;=Assumptions!$C$17,"Tier 2",IF(AND($G28&lt;&gt;"",$G28&gt;=Assumptions!$C$17),"Tier 3 — micro-conversion tests only","Tier 3"))))</f>
        <v/>
      </c>
      <c r="P28" s="16" t="str">
        <f aca="false">IF(O28="","",IF(LEFT(O28,6)="Tier 1","Pursue — offer trial; 2-week tests on purchase metrics",IF(LEFT(O28,6)="Tier 2","Qualify — trial on top-traffic pages only; bold tests (≥10% lift)",IF(O28="Tier 3","Don't trial A/B — nurture or sell non-testing services","Trial only if tests are scored on CTA clicks / leads, not purchases"))))</f>
        <v/>
      </c>
    </row>
    <row r="29" customFormat="false" ht="15" hidden="false" customHeight="false" outlineLevel="0" collapsed="false">
      <c r="A29" s="13"/>
      <c r="B29" s="13"/>
      <c r="C29" s="14"/>
      <c r="D29" s="14"/>
      <c r="E29" s="15"/>
      <c r="F29" s="15"/>
      <c r="G29" s="14"/>
      <c r="H29" s="13"/>
      <c r="I29" s="16" t="str">
        <f aca="false">IF($C29&lt;&gt;"","Actual orders",IF($D29&lt;&gt;"","Est. from traffic",IF($E29&lt;&gt;"","Est. from revenue","")))</f>
        <v/>
      </c>
      <c r="J29" s="17" t="str">
        <f aca="false">IF($C29&lt;&gt;"",$C29,IF($D29&lt;&gt;"",$D29*IFERROR(INDEX(Assumptions!$C$31:$C$42,MATCH($B29,Assumptions!$B$31:$B$42,0)),Assumptions!$C$19),IF($E29&lt;&gt;"",$E29*1000000/12/IF($F29&lt;&gt;"",$F29,IFERROR(INDEX(Assumptions!$D$31:$D$42,MATCH($B29,Assumptions!$B$31:$B$42,0)),Assumptions!$C$20)),"")))</f>
        <v/>
      </c>
      <c r="K29" s="17" t="str">
        <f aca="false">IF($J29="","",$J29/Assumptions!$C$27)</f>
        <v/>
      </c>
      <c r="L29" s="18" t="str">
        <f aca="false">IF($K29="","",MAX(Assumptions!$C$9*Assumptions!$C$25/($K29*Assumptions!$C$10),0))</f>
        <v/>
      </c>
      <c r="M29" s="18" t="str">
        <f aca="false">IF($K29="","",MAX(Assumptions!$C$9*Assumptions!$C$26/($K29*Assumptions!$C$10),0))</f>
        <v/>
      </c>
      <c r="N29" s="19" t="str">
        <f aca="false">IF($K29="","",MIN(Assumptions!$C$14,52/MAX(Assumptions!$C$9*Assumptions!$C$25/($K29*Assumptions!$C$10),Assumptions!$C$13)))</f>
        <v/>
      </c>
      <c r="O29" s="20" t="str">
        <f aca="false">IF($K29="","",IF($K29&gt;=Assumptions!$C$16,"Tier 1",IF($K29&gt;=Assumptions!$C$17,"Tier 2",IF(AND($G29&lt;&gt;"",$G29&gt;=Assumptions!$C$17),"Tier 3 — micro-conversion tests only","Tier 3"))))</f>
        <v/>
      </c>
      <c r="P29" s="16" t="str">
        <f aca="false">IF(O29="","",IF(LEFT(O29,6)="Tier 1","Pursue — offer trial; 2-week tests on purchase metrics",IF(LEFT(O29,6)="Tier 2","Qualify — trial on top-traffic pages only; bold tests (≥10% lift)",IF(O29="Tier 3","Don't trial A/B — nurture or sell non-testing services","Trial only if tests are scored on CTA clicks / leads, not purchases"))))</f>
        <v/>
      </c>
    </row>
    <row r="30" customFormat="false" ht="15" hidden="false" customHeight="false" outlineLevel="0" collapsed="false">
      <c r="A30" s="13"/>
      <c r="B30" s="13"/>
      <c r="C30" s="14"/>
      <c r="D30" s="14"/>
      <c r="E30" s="15"/>
      <c r="F30" s="15"/>
      <c r="G30" s="14"/>
      <c r="H30" s="13"/>
      <c r="I30" s="16" t="str">
        <f aca="false">IF($C30&lt;&gt;"","Actual orders",IF($D30&lt;&gt;"","Est. from traffic",IF($E30&lt;&gt;"","Est. from revenue","")))</f>
        <v/>
      </c>
      <c r="J30" s="17" t="str">
        <f aca="false">IF($C30&lt;&gt;"",$C30,IF($D30&lt;&gt;"",$D30*IFERROR(INDEX(Assumptions!$C$31:$C$42,MATCH($B30,Assumptions!$B$31:$B$42,0)),Assumptions!$C$19),IF($E30&lt;&gt;"",$E30*1000000/12/IF($F30&lt;&gt;"",$F30,IFERROR(INDEX(Assumptions!$D$31:$D$42,MATCH($B30,Assumptions!$B$31:$B$42,0)),Assumptions!$C$20)),"")))</f>
        <v/>
      </c>
      <c r="K30" s="17" t="str">
        <f aca="false">IF($J30="","",$J30/Assumptions!$C$27)</f>
        <v/>
      </c>
      <c r="L30" s="18" t="str">
        <f aca="false">IF($K30="","",MAX(Assumptions!$C$9*Assumptions!$C$25/($K30*Assumptions!$C$10),0))</f>
        <v/>
      </c>
      <c r="M30" s="18" t="str">
        <f aca="false">IF($K30="","",MAX(Assumptions!$C$9*Assumptions!$C$26/($K30*Assumptions!$C$10),0))</f>
        <v/>
      </c>
      <c r="N30" s="19" t="str">
        <f aca="false">IF($K30="","",MIN(Assumptions!$C$14,52/MAX(Assumptions!$C$9*Assumptions!$C$25/($K30*Assumptions!$C$10),Assumptions!$C$13)))</f>
        <v/>
      </c>
      <c r="O30" s="20" t="str">
        <f aca="false">IF($K30="","",IF($K30&gt;=Assumptions!$C$16,"Tier 1",IF($K30&gt;=Assumptions!$C$17,"Tier 2",IF(AND($G30&lt;&gt;"",$G30&gt;=Assumptions!$C$17),"Tier 3 — micro-conversion tests only","Tier 3"))))</f>
        <v/>
      </c>
      <c r="P30" s="16" t="str">
        <f aca="false">IF(O30="","",IF(LEFT(O30,6)="Tier 1","Pursue — offer trial; 2-week tests on purchase metrics",IF(LEFT(O30,6)="Tier 2","Qualify — trial on top-traffic pages only; bold tests (≥10% lift)",IF(O30="Tier 3","Don't trial A/B — nurture or sell non-testing services","Trial only if tests are scored on CTA clicks / leads, not purchases"))))</f>
        <v/>
      </c>
    </row>
    <row r="31" customFormat="false" ht="15" hidden="false" customHeight="false" outlineLevel="0" collapsed="false">
      <c r="A31" s="13"/>
      <c r="B31" s="13"/>
      <c r="C31" s="14"/>
      <c r="D31" s="14"/>
      <c r="E31" s="15"/>
      <c r="F31" s="15"/>
      <c r="G31" s="14"/>
      <c r="H31" s="13"/>
      <c r="I31" s="16" t="str">
        <f aca="false">IF($C31&lt;&gt;"","Actual orders",IF($D31&lt;&gt;"","Est. from traffic",IF($E31&lt;&gt;"","Est. from revenue","")))</f>
        <v/>
      </c>
      <c r="J31" s="17" t="str">
        <f aca="false">IF($C31&lt;&gt;"",$C31,IF($D31&lt;&gt;"",$D31*IFERROR(INDEX(Assumptions!$C$31:$C$42,MATCH($B31,Assumptions!$B$31:$B$42,0)),Assumptions!$C$19),IF($E31&lt;&gt;"",$E31*1000000/12/IF($F31&lt;&gt;"",$F31,IFERROR(INDEX(Assumptions!$D$31:$D$42,MATCH($B31,Assumptions!$B$31:$B$42,0)),Assumptions!$C$20)),"")))</f>
        <v/>
      </c>
      <c r="K31" s="17" t="str">
        <f aca="false">IF($J31="","",$J31/Assumptions!$C$27)</f>
        <v/>
      </c>
      <c r="L31" s="18" t="str">
        <f aca="false">IF($K31="","",MAX(Assumptions!$C$9*Assumptions!$C$25/($K31*Assumptions!$C$10),0))</f>
        <v/>
      </c>
      <c r="M31" s="18" t="str">
        <f aca="false">IF($K31="","",MAX(Assumptions!$C$9*Assumptions!$C$26/($K31*Assumptions!$C$10),0))</f>
        <v/>
      </c>
      <c r="N31" s="19" t="str">
        <f aca="false">IF($K31="","",MIN(Assumptions!$C$14,52/MAX(Assumptions!$C$9*Assumptions!$C$25/($K31*Assumptions!$C$10),Assumptions!$C$13)))</f>
        <v/>
      </c>
      <c r="O31" s="20" t="str">
        <f aca="false">IF($K31="","",IF($K31&gt;=Assumptions!$C$16,"Tier 1",IF($K31&gt;=Assumptions!$C$17,"Tier 2",IF(AND($G31&lt;&gt;"",$G31&gt;=Assumptions!$C$17),"Tier 3 — micro-conversion tests only","Tier 3"))))</f>
        <v/>
      </c>
      <c r="P31" s="16" t="str">
        <f aca="false">IF(O31="","",IF(LEFT(O31,6)="Tier 1","Pursue — offer trial; 2-week tests on purchase metrics",IF(LEFT(O31,6)="Tier 2","Qualify — trial on top-traffic pages only; bold tests (≥10% lift)",IF(O31="Tier 3","Don't trial A/B — nurture or sell non-testing services","Trial only if tests are scored on CTA clicks / leads, not purchases"))))</f>
        <v/>
      </c>
    </row>
    <row r="32" customFormat="false" ht="15" hidden="false" customHeight="false" outlineLevel="0" collapsed="false">
      <c r="A32" s="13"/>
      <c r="B32" s="13"/>
      <c r="C32" s="14"/>
      <c r="D32" s="14"/>
      <c r="E32" s="15"/>
      <c r="F32" s="15"/>
      <c r="G32" s="14"/>
      <c r="H32" s="13"/>
      <c r="I32" s="16" t="str">
        <f aca="false">IF($C32&lt;&gt;"","Actual orders",IF($D32&lt;&gt;"","Est. from traffic",IF($E32&lt;&gt;"","Est. from revenue","")))</f>
        <v/>
      </c>
      <c r="J32" s="17" t="str">
        <f aca="false">IF($C32&lt;&gt;"",$C32,IF($D32&lt;&gt;"",$D32*IFERROR(INDEX(Assumptions!$C$31:$C$42,MATCH($B32,Assumptions!$B$31:$B$42,0)),Assumptions!$C$19),IF($E32&lt;&gt;"",$E32*1000000/12/IF($F32&lt;&gt;"",$F32,IFERROR(INDEX(Assumptions!$D$31:$D$42,MATCH($B32,Assumptions!$B$31:$B$42,0)),Assumptions!$C$20)),"")))</f>
        <v/>
      </c>
      <c r="K32" s="17" t="str">
        <f aca="false">IF($J32="","",$J32/Assumptions!$C$27)</f>
        <v/>
      </c>
      <c r="L32" s="18" t="str">
        <f aca="false">IF($K32="","",MAX(Assumptions!$C$9*Assumptions!$C$25/($K32*Assumptions!$C$10),0))</f>
        <v/>
      </c>
      <c r="M32" s="18" t="str">
        <f aca="false">IF($K32="","",MAX(Assumptions!$C$9*Assumptions!$C$26/($K32*Assumptions!$C$10),0))</f>
        <v/>
      </c>
      <c r="N32" s="19" t="str">
        <f aca="false">IF($K32="","",MIN(Assumptions!$C$14,52/MAX(Assumptions!$C$9*Assumptions!$C$25/($K32*Assumptions!$C$10),Assumptions!$C$13)))</f>
        <v/>
      </c>
      <c r="O32" s="20" t="str">
        <f aca="false">IF($K32="","",IF($K32&gt;=Assumptions!$C$16,"Tier 1",IF($K32&gt;=Assumptions!$C$17,"Tier 2",IF(AND($G32&lt;&gt;"",$G32&gt;=Assumptions!$C$17),"Tier 3 — micro-conversion tests only","Tier 3"))))</f>
        <v/>
      </c>
      <c r="P32" s="16" t="str">
        <f aca="false">IF(O32="","",IF(LEFT(O32,6)="Tier 1","Pursue — offer trial; 2-week tests on purchase metrics",IF(LEFT(O32,6)="Tier 2","Qualify — trial on top-traffic pages only; bold tests (≥10% lift)",IF(O32="Tier 3","Don't trial A/B — nurture or sell non-testing services","Trial only if tests are scored on CTA clicks / leads, not purchases"))))</f>
        <v/>
      </c>
    </row>
    <row r="33" customFormat="false" ht="15" hidden="false" customHeight="false" outlineLevel="0" collapsed="false">
      <c r="A33" s="13"/>
      <c r="B33" s="13"/>
      <c r="C33" s="14"/>
      <c r="D33" s="14"/>
      <c r="E33" s="15"/>
      <c r="F33" s="15"/>
      <c r="G33" s="14"/>
      <c r="H33" s="13"/>
      <c r="I33" s="16" t="str">
        <f aca="false">IF($C33&lt;&gt;"","Actual orders",IF($D33&lt;&gt;"","Est. from traffic",IF($E33&lt;&gt;"","Est. from revenue","")))</f>
        <v/>
      </c>
      <c r="J33" s="17" t="str">
        <f aca="false">IF($C33&lt;&gt;"",$C33,IF($D33&lt;&gt;"",$D33*IFERROR(INDEX(Assumptions!$C$31:$C$42,MATCH($B33,Assumptions!$B$31:$B$42,0)),Assumptions!$C$19),IF($E33&lt;&gt;"",$E33*1000000/12/IF($F33&lt;&gt;"",$F33,IFERROR(INDEX(Assumptions!$D$31:$D$42,MATCH($B33,Assumptions!$B$31:$B$42,0)),Assumptions!$C$20)),"")))</f>
        <v/>
      </c>
      <c r="K33" s="17" t="str">
        <f aca="false">IF($J33="","",$J33/Assumptions!$C$27)</f>
        <v/>
      </c>
      <c r="L33" s="18" t="str">
        <f aca="false">IF($K33="","",MAX(Assumptions!$C$9*Assumptions!$C$25/($K33*Assumptions!$C$10),0))</f>
        <v/>
      </c>
      <c r="M33" s="18" t="str">
        <f aca="false">IF($K33="","",MAX(Assumptions!$C$9*Assumptions!$C$26/($K33*Assumptions!$C$10),0))</f>
        <v/>
      </c>
      <c r="N33" s="19" t="str">
        <f aca="false">IF($K33="","",MIN(Assumptions!$C$14,52/MAX(Assumptions!$C$9*Assumptions!$C$25/($K33*Assumptions!$C$10),Assumptions!$C$13)))</f>
        <v/>
      </c>
      <c r="O33" s="20" t="str">
        <f aca="false">IF($K33="","",IF($K33&gt;=Assumptions!$C$16,"Tier 1",IF($K33&gt;=Assumptions!$C$17,"Tier 2",IF(AND($G33&lt;&gt;"",$G33&gt;=Assumptions!$C$17),"Tier 3 — micro-conversion tests only","Tier 3"))))</f>
        <v/>
      </c>
      <c r="P33" s="16" t="str">
        <f aca="false">IF(O33="","",IF(LEFT(O33,6)="Tier 1","Pursue — offer trial; 2-week tests on purchase metrics",IF(LEFT(O33,6)="Tier 2","Qualify — trial on top-traffic pages only; bold tests (≥10% lift)",IF(O33="Tier 3","Don't trial A/B — nurture or sell non-testing services","Trial only if tests are scored on CTA clicks / leads, not purchases"))))</f>
        <v/>
      </c>
    </row>
    <row r="34" customFormat="false" ht="15" hidden="false" customHeight="false" outlineLevel="0" collapsed="false">
      <c r="A34" s="13"/>
      <c r="B34" s="13"/>
      <c r="C34" s="14"/>
      <c r="D34" s="14"/>
      <c r="E34" s="15"/>
      <c r="F34" s="15"/>
      <c r="G34" s="14"/>
      <c r="H34" s="13"/>
      <c r="I34" s="16" t="str">
        <f aca="false">IF($C34&lt;&gt;"","Actual orders",IF($D34&lt;&gt;"","Est. from traffic",IF($E34&lt;&gt;"","Est. from revenue","")))</f>
        <v/>
      </c>
      <c r="J34" s="17" t="str">
        <f aca="false">IF($C34&lt;&gt;"",$C34,IF($D34&lt;&gt;"",$D34*IFERROR(INDEX(Assumptions!$C$31:$C$42,MATCH($B34,Assumptions!$B$31:$B$42,0)),Assumptions!$C$19),IF($E34&lt;&gt;"",$E34*1000000/12/IF($F34&lt;&gt;"",$F34,IFERROR(INDEX(Assumptions!$D$31:$D$42,MATCH($B34,Assumptions!$B$31:$B$42,0)),Assumptions!$C$20)),"")))</f>
        <v/>
      </c>
      <c r="K34" s="17" t="str">
        <f aca="false">IF($J34="","",$J34/Assumptions!$C$27)</f>
        <v/>
      </c>
      <c r="L34" s="18" t="str">
        <f aca="false">IF($K34="","",MAX(Assumptions!$C$9*Assumptions!$C$25/($K34*Assumptions!$C$10),0))</f>
        <v/>
      </c>
      <c r="M34" s="18" t="str">
        <f aca="false">IF($K34="","",MAX(Assumptions!$C$9*Assumptions!$C$26/($K34*Assumptions!$C$10),0))</f>
        <v/>
      </c>
      <c r="N34" s="19" t="str">
        <f aca="false">IF($K34="","",MIN(Assumptions!$C$14,52/MAX(Assumptions!$C$9*Assumptions!$C$25/($K34*Assumptions!$C$10),Assumptions!$C$13)))</f>
        <v/>
      </c>
      <c r="O34" s="20" t="str">
        <f aca="false">IF($K34="","",IF($K34&gt;=Assumptions!$C$16,"Tier 1",IF($K34&gt;=Assumptions!$C$17,"Tier 2",IF(AND($G34&lt;&gt;"",$G34&gt;=Assumptions!$C$17),"Tier 3 — micro-conversion tests only","Tier 3"))))</f>
        <v/>
      </c>
      <c r="P34" s="16" t="str">
        <f aca="false">IF(O34="","",IF(LEFT(O34,6)="Tier 1","Pursue — offer trial; 2-week tests on purchase metrics",IF(LEFT(O34,6)="Tier 2","Qualify — trial on top-traffic pages only; bold tests (≥10% lift)",IF(O34="Tier 3","Don't trial A/B — nurture or sell non-testing services","Trial only if tests are scored on CTA clicks / leads, not purchases"))))</f>
        <v/>
      </c>
    </row>
    <row r="35" customFormat="false" ht="15" hidden="false" customHeight="false" outlineLevel="0" collapsed="false">
      <c r="A35" s="13"/>
      <c r="B35" s="13"/>
      <c r="C35" s="14"/>
      <c r="D35" s="14"/>
      <c r="E35" s="15"/>
      <c r="F35" s="15"/>
      <c r="G35" s="14"/>
      <c r="H35" s="13"/>
      <c r="I35" s="16" t="str">
        <f aca="false">IF($C35&lt;&gt;"","Actual orders",IF($D35&lt;&gt;"","Est. from traffic",IF($E35&lt;&gt;"","Est. from revenue","")))</f>
        <v/>
      </c>
      <c r="J35" s="17" t="str">
        <f aca="false">IF($C35&lt;&gt;"",$C35,IF($D35&lt;&gt;"",$D35*IFERROR(INDEX(Assumptions!$C$31:$C$42,MATCH($B35,Assumptions!$B$31:$B$42,0)),Assumptions!$C$19),IF($E35&lt;&gt;"",$E35*1000000/12/IF($F35&lt;&gt;"",$F35,IFERROR(INDEX(Assumptions!$D$31:$D$42,MATCH($B35,Assumptions!$B$31:$B$42,0)),Assumptions!$C$20)),"")))</f>
        <v/>
      </c>
      <c r="K35" s="17" t="str">
        <f aca="false">IF($J35="","",$J35/Assumptions!$C$27)</f>
        <v/>
      </c>
      <c r="L35" s="18" t="str">
        <f aca="false">IF($K35="","",MAX(Assumptions!$C$9*Assumptions!$C$25/($K35*Assumptions!$C$10),0))</f>
        <v/>
      </c>
      <c r="M35" s="18" t="str">
        <f aca="false">IF($K35="","",MAX(Assumptions!$C$9*Assumptions!$C$26/($K35*Assumptions!$C$10),0))</f>
        <v/>
      </c>
      <c r="N35" s="19" t="str">
        <f aca="false">IF($K35="","",MIN(Assumptions!$C$14,52/MAX(Assumptions!$C$9*Assumptions!$C$25/($K35*Assumptions!$C$10),Assumptions!$C$13)))</f>
        <v/>
      </c>
      <c r="O35" s="20" t="str">
        <f aca="false">IF($K35="","",IF($K35&gt;=Assumptions!$C$16,"Tier 1",IF($K35&gt;=Assumptions!$C$17,"Tier 2",IF(AND($G35&lt;&gt;"",$G35&gt;=Assumptions!$C$17),"Tier 3 — micro-conversion tests only","Tier 3"))))</f>
        <v/>
      </c>
      <c r="P35" s="16" t="str">
        <f aca="false">IF(O35="","",IF(LEFT(O35,6)="Tier 1","Pursue — offer trial; 2-week tests on purchase metrics",IF(LEFT(O35,6)="Tier 2","Qualify — trial on top-traffic pages only; bold tests (≥10% lift)",IF(O35="Tier 3","Don't trial A/B — nurture or sell non-testing services","Trial only if tests are scored on CTA clicks / leads, not purchases"))))</f>
        <v/>
      </c>
    </row>
    <row r="36" customFormat="false" ht="15" hidden="false" customHeight="false" outlineLevel="0" collapsed="false">
      <c r="A36" s="13"/>
      <c r="B36" s="13"/>
      <c r="C36" s="14"/>
      <c r="D36" s="14"/>
      <c r="E36" s="15"/>
      <c r="F36" s="15"/>
      <c r="G36" s="14"/>
      <c r="H36" s="13"/>
      <c r="I36" s="16" t="str">
        <f aca="false">IF($C36&lt;&gt;"","Actual orders",IF($D36&lt;&gt;"","Est. from traffic",IF($E36&lt;&gt;"","Est. from revenue","")))</f>
        <v/>
      </c>
      <c r="J36" s="17" t="str">
        <f aca="false">IF($C36&lt;&gt;"",$C36,IF($D36&lt;&gt;"",$D36*IFERROR(INDEX(Assumptions!$C$31:$C$42,MATCH($B36,Assumptions!$B$31:$B$42,0)),Assumptions!$C$19),IF($E36&lt;&gt;"",$E36*1000000/12/IF($F36&lt;&gt;"",$F36,IFERROR(INDEX(Assumptions!$D$31:$D$42,MATCH($B36,Assumptions!$B$31:$B$42,0)),Assumptions!$C$20)),"")))</f>
        <v/>
      </c>
      <c r="K36" s="17" t="str">
        <f aca="false">IF($J36="","",$J36/Assumptions!$C$27)</f>
        <v/>
      </c>
      <c r="L36" s="18" t="str">
        <f aca="false">IF($K36="","",MAX(Assumptions!$C$9*Assumptions!$C$25/($K36*Assumptions!$C$10),0))</f>
        <v/>
      </c>
      <c r="M36" s="18" t="str">
        <f aca="false">IF($K36="","",MAX(Assumptions!$C$9*Assumptions!$C$26/($K36*Assumptions!$C$10),0))</f>
        <v/>
      </c>
      <c r="N36" s="19" t="str">
        <f aca="false">IF($K36="","",MIN(Assumptions!$C$14,52/MAX(Assumptions!$C$9*Assumptions!$C$25/($K36*Assumptions!$C$10),Assumptions!$C$13)))</f>
        <v/>
      </c>
      <c r="O36" s="20" t="str">
        <f aca="false">IF($K36="","",IF($K36&gt;=Assumptions!$C$16,"Tier 1",IF($K36&gt;=Assumptions!$C$17,"Tier 2",IF(AND($G36&lt;&gt;"",$G36&gt;=Assumptions!$C$17),"Tier 3 — micro-conversion tests only","Tier 3"))))</f>
        <v/>
      </c>
      <c r="P36" s="16" t="str">
        <f aca="false">IF(O36="","",IF(LEFT(O36,6)="Tier 1","Pursue — offer trial; 2-week tests on purchase metrics",IF(LEFT(O36,6)="Tier 2","Qualify — trial on top-traffic pages only; bold tests (≥10% lift)",IF(O36="Tier 3","Don't trial A/B — nurture or sell non-testing services","Trial only if tests are scored on CTA clicks / leads, not purchases"))))</f>
        <v/>
      </c>
    </row>
    <row r="37" customFormat="false" ht="15" hidden="false" customHeight="false" outlineLevel="0" collapsed="false">
      <c r="A37" s="13"/>
      <c r="B37" s="13"/>
      <c r="C37" s="14"/>
      <c r="D37" s="14"/>
      <c r="E37" s="15"/>
      <c r="F37" s="15"/>
      <c r="G37" s="14"/>
      <c r="H37" s="13"/>
      <c r="I37" s="16" t="str">
        <f aca="false">IF($C37&lt;&gt;"","Actual orders",IF($D37&lt;&gt;"","Est. from traffic",IF($E37&lt;&gt;"","Est. from revenue","")))</f>
        <v/>
      </c>
      <c r="J37" s="17" t="str">
        <f aca="false">IF($C37&lt;&gt;"",$C37,IF($D37&lt;&gt;"",$D37*IFERROR(INDEX(Assumptions!$C$31:$C$42,MATCH($B37,Assumptions!$B$31:$B$42,0)),Assumptions!$C$19),IF($E37&lt;&gt;"",$E37*1000000/12/IF($F37&lt;&gt;"",$F37,IFERROR(INDEX(Assumptions!$D$31:$D$42,MATCH($B37,Assumptions!$B$31:$B$42,0)),Assumptions!$C$20)),"")))</f>
        <v/>
      </c>
      <c r="K37" s="17" t="str">
        <f aca="false">IF($J37="","",$J37/Assumptions!$C$27)</f>
        <v/>
      </c>
      <c r="L37" s="18" t="str">
        <f aca="false">IF($K37="","",MAX(Assumptions!$C$9*Assumptions!$C$25/($K37*Assumptions!$C$10),0))</f>
        <v/>
      </c>
      <c r="M37" s="18" t="str">
        <f aca="false">IF($K37="","",MAX(Assumptions!$C$9*Assumptions!$C$26/($K37*Assumptions!$C$10),0))</f>
        <v/>
      </c>
      <c r="N37" s="19" t="str">
        <f aca="false">IF($K37="","",MIN(Assumptions!$C$14,52/MAX(Assumptions!$C$9*Assumptions!$C$25/($K37*Assumptions!$C$10),Assumptions!$C$13)))</f>
        <v/>
      </c>
      <c r="O37" s="20" t="str">
        <f aca="false">IF($K37="","",IF($K37&gt;=Assumptions!$C$16,"Tier 1",IF($K37&gt;=Assumptions!$C$17,"Tier 2",IF(AND($G37&lt;&gt;"",$G37&gt;=Assumptions!$C$17),"Tier 3 — micro-conversion tests only","Tier 3"))))</f>
        <v/>
      </c>
      <c r="P37" s="16" t="str">
        <f aca="false">IF(O37="","",IF(LEFT(O37,6)="Tier 1","Pursue — offer trial; 2-week tests on purchase metrics",IF(LEFT(O37,6)="Tier 2","Qualify — trial on top-traffic pages only; bold tests (≥10% lift)",IF(O37="Tier 3","Don't trial A/B — nurture or sell non-testing services","Trial only if tests are scored on CTA clicks / leads, not purchases"))))</f>
        <v/>
      </c>
    </row>
    <row r="38" customFormat="false" ht="15" hidden="false" customHeight="false" outlineLevel="0" collapsed="false">
      <c r="A38" s="13"/>
      <c r="B38" s="13"/>
      <c r="C38" s="14"/>
      <c r="D38" s="14"/>
      <c r="E38" s="15"/>
      <c r="F38" s="15"/>
      <c r="G38" s="14"/>
      <c r="H38" s="13"/>
      <c r="I38" s="16" t="str">
        <f aca="false">IF($C38&lt;&gt;"","Actual orders",IF($D38&lt;&gt;"","Est. from traffic",IF($E38&lt;&gt;"","Est. from revenue","")))</f>
        <v/>
      </c>
      <c r="J38" s="17" t="str">
        <f aca="false">IF($C38&lt;&gt;"",$C38,IF($D38&lt;&gt;"",$D38*IFERROR(INDEX(Assumptions!$C$31:$C$42,MATCH($B38,Assumptions!$B$31:$B$42,0)),Assumptions!$C$19),IF($E38&lt;&gt;"",$E38*1000000/12/IF($F38&lt;&gt;"",$F38,IFERROR(INDEX(Assumptions!$D$31:$D$42,MATCH($B38,Assumptions!$B$31:$B$42,0)),Assumptions!$C$20)),"")))</f>
        <v/>
      </c>
      <c r="K38" s="17" t="str">
        <f aca="false">IF($J38="","",$J38/Assumptions!$C$27)</f>
        <v/>
      </c>
      <c r="L38" s="18" t="str">
        <f aca="false">IF($K38="","",MAX(Assumptions!$C$9*Assumptions!$C$25/($K38*Assumptions!$C$10),0))</f>
        <v/>
      </c>
      <c r="M38" s="18" t="str">
        <f aca="false">IF($K38="","",MAX(Assumptions!$C$9*Assumptions!$C$26/($K38*Assumptions!$C$10),0))</f>
        <v/>
      </c>
      <c r="N38" s="19" t="str">
        <f aca="false">IF($K38="","",MIN(Assumptions!$C$14,52/MAX(Assumptions!$C$9*Assumptions!$C$25/($K38*Assumptions!$C$10),Assumptions!$C$13)))</f>
        <v/>
      </c>
      <c r="O38" s="20" t="str">
        <f aca="false">IF($K38="","",IF($K38&gt;=Assumptions!$C$16,"Tier 1",IF($K38&gt;=Assumptions!$C$17,"Tier 2",IF(AND($G38&lt;&gt;"",$G38&gt;=Assumptions!$C$17),"Tier 3 — micro-conversion tests only","Tier 3"))))</f>
        <v/>
      </c>
      <c r="P38" s="16" t="str">
        <f aca="false">IF(O38="","",IF(LEFT(O38,6)="Tier 1","Pursue — offer trial; 2-week tests on purchase metrics",IF(LEFT(O38,6)="Tier 2","Qualify — trial on top-traffic pages only; bold tests (≥10% lift)",IF(O38="Tier 3","Don't trial A/B — nurture or sell non-testing services","Trial only if tests are scored on CTA clicks / leads, not purchases"))))</f>
        <v/>
      </c>
    </row>
    <row r="39" customFormat="false" ht="15" hidden="false" customHeight="false" outlineLevel="0" collapsed="false">
      <c r="A39" s="13"/>
      <c r="B39" s="13"/>
      <c r="C39" s="14"/>
      <c r="D39" s="14"/>
      <c r="E39" s="15"/>
      <c r="F39" s="15"/>
      <c r="G39" s="14"/>
      <c r="H39" s="13"/>
      <c r="I39" s="16" t="str">
        <f aca="false">IF($C39&lt;&gt;"","Actual orders",IF($D39&lt;&gt;"","Est. from traffic",IF($E39&lt;&gt;"","Est. from revenue","")))</f>
        <v/>
      </c>
      <c r="J39" s="17" t="str">
        <f aca="false">IF($C39&lt;&gt;"",$C39,IF($D39&lt;&gt;"",$D39*IFERROR(INDEX(Assumptions!$C$31:$C$42,MATCH($B39,Assumptions!$B$31:$B$42,0)),Assumptions!$C$19),IF($E39&lt;&gt;"",$E39*1000000/12/IF($F39&lt;&gt;"",$F39,IFERROR(INDEX(Assumptions!$D$31:$D$42,MATCH($B39,Assumptions!$B$31:$B$42,0)),Assumptions!$C$20)),"")))</f>
        <v/>
      </c>
      <c r="K39" s="17" t="str">
        <f aca="false">IF($J39="","",$J39/Assumptions!$C$27)</f>
        <v/>
      </c>
      <c r="L39" s="18" t="str">
        <f aca="false">IF($K39="","",MAX(Assumptions!$C$9*Assumptions!$C$25/($K39*Assumptions!$C$10),0))</f>
        <v/>
      </c>
      <c r="M39" s="18" t="str">
        <f aca="false">IF($K39="","",MAX(Assumptions!$C$9*Assumptions!$C$26/($K39*Assumptions!$C$10),0))</f>
        <v/>
      </c>
      <c r="N39" s="19" t="str">
        <f aca="false">IF($K39="","",MIN(Assumptions!$C$14,52/MAX(Assumptions!$C$9*Assumptions!$C$25/($K39*Assumptions!$C$10),Assumptions!$C$13)))</f>
        <v/>
      </c>
      <c r="O39" s="20" t="str">
        <f aca="false">IF($K39="","",IF($K39&gt;=Assumptions!$C$16,"Tier 1",IF($K39&gt;=Assumptions!$C$17,"Tier 2",IF(AND($G39&lt;&gt;"",$G39&gt;=Assumptions!$C$17),"Tier 3 — micro-conversion tests only","Tier 3"))))</f>
        <v/>
      </c>
      <c r="P39" s="16" t="str">
        <f aca="false">IF(O39="","",IF(LEFT(O39,6)="Tier 1","Pursue — offer trial; 2-week tests on purchase metrics",IF(LEFT(O39,6)="Tier 2","Qualify — trial on top-traffic pages only; bold tests (≥10% lift)",IF(O39="Tier 3","Don't trial A/B — nurture or sell non-testing services","Trial only if tests are scored on CTA clicks / leads, not purchases"))))</f>
        <v/>
      </c>
    </row>
    <row r="40" customFormat="false" ht="15" hidden="false" customHeight="false" outlineLevel="0" collapsed="false">
      <c r="A40" s="13"/>
      <c r="B40" s="13"/>
      <c r="C40" s="14"/>
      <c r="D40" s="14"/>
      <c r="E40" s="15"/>
      <c r="F40" s="15"/>
      <c r="G40" s="14"/>
      <c r="H40" s="13"/>
      <c r="I40" s="16" t="str">
        <f aca="false">IF($C40&lt;&gt;"","Actual orders",IF($D40&lt;&gt;"","Est. from traffic",IF($E40&lt;&gt;"","Est. from revenue","")))</f>
        <v/>
      </c>
      <c r="J40" s="17" t="str">
        <f aca="false">IF($C40&lt;&gt;"",$C40,IF($D40&lt;&gt;"",$D40*IFERROR(INDEX(Assumptions!$C$31:$C$42,MATCH($B40,Assumptions!$B$31:$B$42,0)),Assumptions!$C$19),IF($E40&lt;&gt;"",$E40*1000000/12/IF($F40&lt;&gt;"",$F40,IFERROR(INDEX(Assumptions!$D$31:$D$42,MATCH($B40,Assumptions!$B$31:$B$42,0)),Assumptions!$C$20)),"")))</f>
        <v/>
      </c>
      <c r="K40" s="17" t="str">
        <f aca="false">IF($J40="","",$J40/Assumptions!$C$27)</f>
        <v/>
      </c>
      <c r="L40" s="18" t="str">
        <f aca="false">IF($K40="","",MAX(Assumptions!$C$9*Assumptions!$C$25/($K40*Assumptions!$C$10),0))</f>
        <v/>
      </c>
      <c r="M40" s="18" t="str">
        <f aca="false">IF($K40="","",MAX(Assumptions!$C$9*Assumptions!$C$26/($K40*Assumptions!$C$10),0))</f>
        <v/>
      </c>
      <c r="N40" s="19" t="str">
        <f aca="false">IF($K40="","",MIN(Assumptions!$C$14,52/MAX(Assumptions!$C$9*Assumptions!$C$25/($K40*Assumptions!$C$10),Assumptions!$C$13)))</f>
        <v/>
      </c>
      <c r="O40" s="20" t="str">
        <f aca="false">IF($K40="","",IF($K40&gt;=Assumptions!$C$16,"Tier 1",IF($K40&gt;=Assumptions!$C$17,"Tier 2",IF(AND($G40&lt;&gt;"",$G40&gt;=Assumptions!$C$17),"Tier 3 — micro-conversion tests only","Tier 3"))))</f>
        <v/>
      </c>
      <c r="P40" s="16" t="str">
        <f aca="false">IF(O40="","",IF(LEFT(O40,6)="Tier 1","Pursue — offer trial; 2-week tests on purchase metrics",IF(LEFT(O40,6)="Tier 2","Qualify — trial on top-traffic pages only; bold tests (≥10% lift)",IF(O40="Tier 3","Don't trial A/B — nurture or sell non-testing services","Trial only if tests are scored on CTA clicks / leads, not purchases"))))</f>
        <v/>
      </c>
    </row>
    <row r="41" customFormat="false" ht="15" hidden="false" customHeight="false" outlineLevel="0" collapsed="false">
      <c r="A41" s="13"/>
      <c r="B41" s="13"/>
      <c r="C41" s="14"/>
      <c r="D41" s="14"/>
      <c r="E41" s="15"/>
      <c r="F41" s="15"/>
      <c r="G41" s="14"/>
      <c r="H41" s="13"/>
      <c r="I41" s="16" t="str">
        <f aca="false">IF($C41&lt;&gt;"","Actual orders",IF($D41&lt;&gt;"","Est. from traffic",IF($E41&lt;&gt;"","Est. from revenue","")))</f>
        <v/>
      </c>
      <c r="J41" s="17" t="str">
        <f aca="false">IF($C41&lt;&gt;"",$C41,IF($D41&lt;&gt;"",$D41*IFERROR(INDEX(Assumptions!$C$31:$C$42,MATCH($B41,Assumptions!$B$31:$B$42,0)),Assumptions!$C$19),IF($E41&lt;&gt;"",$E41*1000000/12/IF($F41&lt;&gt;"",$F41,IFERROR(INDEX(Assumptions!$D$31:$D$42,MATCH($B41,Assumptions!$B$31:$B$42,0)),Assumptions!$C$20)),"")))</f>
        <v/>
      </c>
      <c r="K41" s="17" t="str">
        <f aca="false">IF($J41="","",$J41/Assumptions!$C$27)</f>
        <v/>
      </c>
      <c r="L41" s="18" t="str">
        <f aca="false">IF($K41="","",MAX(Assumptions!$C$9*Assumptions!$C$25/($K41*Assumptions!$C$10),0))</f>
        <v/>
      </c>
      <c r="M41" s="18" t="str">
        <f aca="false">IF($K41="","",MAX(Assumptions!$C$9*Assumptions!$C$26/($K41*Assumptions!$C$10),0))</f>
        <v/>
      </c>
      <c r="N41" s="19" t="str">
        <f aca="false">IF($K41="","",MIN(Assumptions!$C$14,52/MAX(Assumptions!$C$9*Assumptions!$C$25/($K41*Assumptions!$C$10),Assumptions!$C$13)))</f>
        <v/>
      </c>
      <c r="O41" s="20" t="str">
        <f aca="false">IF($K41="","",IF($K41&gt;=Assumptions!$C$16,"Tier 1",IF($K41&gt;=Assumptions!$C$17,"Tier 2",IF(AND($G41&lt;&gt;"",$G41&gt;=Assumptions!$C$17),"Tier 3 — micro-conversion tests only","Tier 3"))))</f>
        <v/>
      </c>
      <c r="P41" s="16" t="str">
        <f aca="false">IF(O41="","",IF(LEFT(O41,6)="Tier 1","Pursue — offer trial; 2-week tests on purchase metrics",IF(LEFT(O41,6)="Tier 2","Qualify — trial on top-traffic pages only; bold tests (≥10% lift)",IF(O41="Tier 3","Don't trial A/B — nurture or sell non-testing services","Trial only if tests are scored on CTA clicks / leads, not purchases"))))</f>
        <v/>
      </c>
    </row>
    <row r="42" customFormat="false" ht="15" hidden="false" customHeight="false" outlineLevel="0" collapsed="false">
      <c r="A42" s="13"/>
      <c r="B42" s="13"/>
      <c r="C42" s="14"/>
      <c r="D42" s="14"/>
      <c r="E42" s="15"/>
      <c r="F42" s="15"/>
      <c r="G42" s="14"/>
      <c r="H42" s="13"/>
      <c r="I42" s="16" t="str">
        <f aca="false">IF($C42&lt;&gt;"","Actual orders",IF($D42&lt;&gt;"","Est. from traffic",IF($E42&lt;&gt;"","Est. from revenue","")))</f>
        <v/>
      </c>
      <c r="J42" s="17" t="str">
        <f aca="false">IF($C42&lt;&gt;"",$C42,IF($D42&lt;&gt;"",$D42*IFERROR(INDEX(Assumptions!$C$31:$C$42,MATCH($B42,Assumptions!$B$31:$B$42,0)),Assumptions!$C$19),IF($E42&lt;&gt;"",$E42*1000000/12/IF($F42&lt;&gt;"",$F42,IFERROR(INDEX(Assumptions!$D$31:$D$42,MATCH($B42,Assumptions!$B$31:$B$42,0)),Assumptions!$C$20)),"")))</f>
        <v/>
      </c>
      <c r="K42" s="17" t="str">
        <f aca="false">IF($J42="","",$J42/Assumptions!$C$27)</f>
        <v/>
      </c>
      <c r="L42" s="18" t="str">
        <f aca="false">IF($K42="","",MAX(Assumptions!$C$9*Assumptions!$C$25/($K42*Assumptions!$C$10),0))</f>
        <v/>
      </c>
      <c r="M42" s="18" t="str">
        <f aca="false">IF($K42="","",MAX(Assumptions!$C$9*Assumptions!$C$26/($K42*Assumptions!$C$10),0))</f>
        <v/>
      </c>
      <c r="N42" s="19" t="str">
        <f aca="false">IF($K42="","",MIN(Assumptions!$C$14,52/MAX(Assumptions!$C$9*Assumptions!$C$25/($K42*Assumptions!$C$10),Assumptions!$C$13)))</f>
        <v/>
      </c>
      <c r="O42" s="20" t="str">
        <f aca="false">IF($K42="","",IF($K42&gt;=Assumptions!$C$16,"Tier 1",IF($K42&gt;=Assumptions!$C$17,"Tier 2",IF(AND($G42&lt;&gt;"",$G42&gt;=Assumptions!$C$17),"Tier 3 — micro-conversion tests only","Tier 3"))))</f>
        <v/>
      </c>
      <c r="P42" s="16" t="str">
        <f aca="false">IF(O42="","",IF(LEFT(O42,6)="Tier 1","Pursue — offer trial; 2-week tests on purchase metrics",IF(LEFT(O42,6)="Tier 2","Qualify — trial on top-traffic pages only; bold tests (≥10% lift)",IF(O42="Tier 3","Don't trial A/B — nurture or sell non-testing services","Trial only if tests are scored on CTA clicks / leads, not purchases"))))</f>
        <v/>
      </c>
    </row>
    <row r="43" customFormat="false" ht="15" hidden="false" customHeight="false" outlineLevel="0" collapsed="false">
      <c r="A43" s="13"/>
      <c r="B43" s="13"/>
      <c r="C43" s="14"/>
      <c r="D43" s="14"/>
      <c r="E43" s="15"/>
      <c r="F43" s="15"/>
      <c r="G43" s="14"/>
      <c r="H43" s="13"/>
      <c r="I43" s="16" t="str">
        <f aca="false">IF($C43&lt;&gt;"","Actual orders",IF($D43&lt;&gt;"","Est. from traffic",IF($E43&lt;&gt;"","Est. from revenue","")))</f>
        <v/>
      </c>
      <c r="J43" s="17" t="str">
        <f aca="false">IF($C43&lt;&gt;"",$C43,IF($D43&lt;&gt;"",$D43*IFERROR(INDEX(Assumptions!$C$31:$C$42,MATCH($B43,Assumptions!$B$31:$B$42,0)),Assumptions!$C$19),IF($E43&lt;&gt;"",$E43*1000000/12/IF($F43&lt;&gt;"",$F43,IFERROR(INDEX(Assumptions!$D$31:$D$42,MATCH($B43,Assumptions!$B$31:$B$42,0)),Assumptions!$C$20)),"")))</f>
        <v/>
      </c>
      <c r="K43" s="17" t="str">
        <f aca="false">IF($J43="","",$J43/Assumptions!$C$27)</f>
        <v/>
      </c>
      <c r="L43" s="18" t="str">
        <f aca="false">IF($K43="","",MAX(Assumptions!$C$9*Assumptions!$C$25/($K43*Assumptions!$C$10),0))</f>
        <v/>
      </c>
      <c r="M43" s="18" t="str">
        <f aca="false">IF($K43="","",MAX(Assumptions!$C$9*Assumptions!$C$26/($K43*Assumptions!$C$10),0))</f>
        <v/>
      </c>
      <c r="N43" s="19" t="str">
        <f aca="false">IF($K43="","",MIN(Assumptions!$C$14,52/MAX(Assumptions!$C$9*Assumptions!$C$25/($K43*Assumptions!$C$10),Assumptions!$C$13)))</f>
        <v/>
      </c>
      <c r="O43" s="20" t="str">
        <f aca="false">IF($K43="","",IF($K43&gt;=Assumptions!$C$16,"Tier 1",IF($K43&gt;=Assumptions!$C$17,"Tier 2",IF(AND($G43&lt;&gt;"",$G43&gt;=Assumptions!$C$17),"Tier 3 — micro-conversion tests only","Tier 3"))))</f>
        <v/>
      </c>
      <c r="P43" s="16" t="str">
        <f aca="false">IF(O43="","",IF(LEFT(O43,6)="Tier 1","Pursue — offer trial; 2-week tests on purchase metrics",IF(LEFT(O43,6)="Tier 2","Qualify — trial on top-traffic pages only; bold tests (≥10% lift)",IF(O43="Tier 3","Don't trial A/B — nurture or sell non-testing services","Trial only if tests are scored on CTA clicks / leads, not purchases"))))</f>
        <v/>
      </c>
    </row>
    <row r="44" customFormat="false" ht="15" hidden="false" customHeight="false" outlineLevel="0" collapsed="false">
      <c r="A44" s="13"/>
      <c r="B44" s="13"/>
      <c r="C44" s="14"/>
      <c r="D44" s="14"/>
      <c r="E44" s="15"/>
      <c r="F44" s="15"/>
      <c r="G44" s="14"/>
      <c r="H44" s="13"/>
      <c r="I44" s="16" t="str">
        <f aca="false">IF($C44&lt;&gt;"","Actual orders",IF($D44&lt;&gt;"","Est. from traffic",IF($E44&lt;&gt;"","Est. from revenue","")))</f>
        <v/>
      </c>
      <c r="J44" s="17" t="str">
        <f aca="false">IF($C44&lt;&gt;"",$C44,IF($D44&lt;&gt;"",$D44*IFERROR(INDEX(Assumptions!$C$31:$C$42,MATCH($B44,Assumptions!$B$31:$B$42,0)),Assumptions!$C$19),IF($E44&lt;&gt;"",$E44*1000000/12/IF($F44&lt;&gt;"",$F44,IFERROR(INDEX(Assumptions!$D$31:$D$42,MATCH($B44,Assumptions!$B$31:$B$42,0)),Assumptions!$C$20)),"")))</f>
        <v/>
      </c>
      <c r="K44" s="17" t="str">
        <f aca="false">IF($J44="","",$J44/Assumptions!$C$27)</f>
        <v/>
      </c>
      <c r="L44" s="18" t="str">
        <f aca="false">IF($K44="","",MAX(Assumptions!$C$9*Assumptions!$C$25/($K44*Assumptions!$C$10),0))</f>
        <v/>
      </c>
      <c r="M44" s="18" t="str">
        <f aca="false">IF($K44="","",MAX(Assumptions!$C$9*Assumptions!$C$26/($K44*Assumptions!$C$10),0))</f>
        <v/>
      </c>
      <c r="N44" s="19" t="str">
        <f aca="false">IF($K44="","",MIN(Assumptions!$C$14,52/MAX(Assumptions!$C$9*Assumptions!$C$25/($K44*Assumptions!$C$10),Assumptions!$C$13)))</f>
        <v/>
      </c>
      <c r="O44" s="20" t="str">
        <f aca="false">IF($K44="","",IF($K44&gt;=Assumptions!$C$16,"Tier 1",IF($K44&gt;=Assumptions!$C$17,"Tier 2",IF(AND($G44&lt;&gt;"",$G44&gt;=Assumptions!$C$17),"Tier 3 — micro-conversion tests only","Tier 3"))))</f>
        <v/>
      </c>
      <c r="P44" s="16" t="str">
        <f aca="false">IF(O44="","",IF(LEFT(O44,6)="Tier 1","Pursue — offer trial; 2-week tests on purchase metrics",IF(LEFT(O44,6)="Tier 2","Qualify — trial on top-traffic pages only; bold tests (≥10% lift)",IF(O44="Tier 3","Don't trial A/B — nurture or sell non-testing services","Trial only if tests are scored on CTA clicks / leads, not purchases"))))</f>
        <v/>
      </c>
    </row>
    <row r="45" customFormat="false" ht="15" hidden="false" customHeight="false" outlineLevel="0" collapsed="false">
      <c r="A45" s="13"/>
      <c r="B45" s="13"/>
      <c r="C45" s="14"/>
      <c r="D45" s="14"/>
      <c r="E45" s="15"/>
      <c r="F45" s="15"/>
      <c r="G45" s="14"/>
      <c r="H45" s="13"/>
      <c r="I45" s="16" t="str">
        <f aca="false">IF($C45&lt;&gt;"","Actual orders",IF($D45&lt;&gt;"","Est. from traffic",IF($E45&lt;&gt;"","Est. from revenue","")))</f>
        <v/>
      </c>
      <c r="J45" s="17" t="str">
        <f aca="false">IF($C45&lt;&gt;"",$C45,IF($D45&lt;&gt;"",$D45*IFERROR(INDEX(Assumptions!$C$31:$C$42,MATCH($B45,Assumptions!$B$31:$B$42,0)),Assumptions!$C$19),IF($E45&lt;&gt;"",$E45*1000000/12/IF($F45&lt;&gt;"",$F45,IFERROR(INDEX(Assumptions!$D$31:$D$42,MATCH($B45,Assumptions!$B$31:$B$42,0)),Assumptions!$C$20)),"")))</f>
        <v/>
      </c>
      <c r="K45" s="17" t="str">
        <f aca="false">IF($J45="","",$J45/Assumptions!$C$27)</f>
        <v/>
      </c>
      <c r="L45" s="18" t="str">
        <f aca="false">IF($K45="","",MAX(Assumptions!$C$9*Assumptions!$C$25/($K45*Assumptions!$C$10),0))</f>
        <v/>
      </c>
      <c r="M45" s="18" t="str">
        <f aca="false">IF($K45="","",MAX(Assumptions!$C$9*Assumptions!$C$26/($K45*Assumptions!$C$10),0))</f>
        <v/>
      </c>
      <c r="N45" s="19" t="str">
        <f aca="false">IF($K45="","",MIN(Assumptions!$C$14,52/MAX(Assumptions!$C$9*Assumptions!$C$25/($K45*Assumptions!$C$10),Assumptions!$C$13)))</f>
        <v/>
      </c>
      <c r="O45" s="20" t="str">
        <f aca="false">IF($K45="","",IF($K45&gt;=Assumptions!$C$16,"Tier 1",IF($K45&gt;=Assumptions!$C$17,"Tier 2",IF(AND($G45&lt;&gt;"",$G45&gt;=Assumptions!$C$17),"Tier 3 — micro-conversion tests only","Tier 3"))))</f>
        <v/>
      </c>
      <c r="P45" s="16" t="str">
        <f aca="false">IF(O45="","",IF(LEFT(O45,6)="Tier 1","Pursue — offer trial; 2-week tests on purchase metrics",IF(LEFT(O45,6)="Tier 2","Qualify — trial on top-traffic pages only; bold tests (≥10% lift)",IF(O45="Tier 3","Don't trial A/B — nurture or sell non-testing services","Trial only if tests are scored on CTA clicks / leads, not purchases"))))</f>
        <v/>
      </c>
    </row>
    <row r="46" customFormat="false" ht="15" hidden="false" customHeight="false" outlineLevel="0" collapsed="false">
      <c r="A46" s="13"/>
      <c r="B46" s="13"/>
      <c r="C46" s="14"/>
      <c r="D46" s="14"/>
      <c r="E46" s="15"/>
      <c r="F46" s="15"/>
      <c r="G46" s="14"/>
      <c r="H46" s="13"/>
      <c r="I46" s="16" t="str">
        <f aca="false">IF($C46&lt;&gt;"","Actual orders",IF($D46&lt;&gt;"","Est. from traffic",IF($E46&lt;&gt;"","Est. from revenue","")))</f>
        <v/>
      </c>
      <c r="J46" s="17" t="str">
        <f aca="false">IF($C46&lt;&gt;"",$C46,IF($D46&lt;&gt;"",$D46*IFERROR(INDEX(Assumptions!$C$31:$C$42,MATCH($B46,Assumptions!$B$31:$B$42,0)),Assumptions!$C$19),IF($E46&lt;&gt;"",$E46*1000000/12/IF($F46&lt;&gt;"",$F46,IFERROR(INDEX(Assumptions!$D$31:$D$42,MATCH($B46,Assumptions!$B$31:$B$42,0)),Assumptions!$C$20)),"")))</f>
        <v/>
      </c>
      <c r="K46" s="17" t="str">
        <f aca="false">IF($J46="","",$J46/Assumptions!$C$27)</f>
        <v/>
      </c>
      <c r="L46" s="18" t="str">
        <f aca="false">IF($K46="","",MAX(Assumptions!$C$9*Assumptions!$C$25/($K46*Assumptions!$C$10),0))</f>
        <v/>
      </c>
      <c r="M46" s="18" t="str">
        <f aca="false">IF($K46="","",MAX(Assumptions!$C$9*Assumptions!$C$26/($K46*Assumptions!$C$10),0))</f>
        <v/>
      </c>
      <c r="N46" s="19" t="str">
        <f aca="false">IF($K46="","",MIN(Assumptions!$C$14,52/MAX(Assumptions!$C$9*Assumptions!$C$25/($K46*Assumptions!$C$10),Assumptions!$C$13)))</f>
        <v/>
      </c>
      <c r="O46" s="20" t="str">
        <f aca="false">IF($K46="","",IF($K46&gt;=Assumptions!$C$16,"Tier 1",IF($K46&gt;=Assumptions!$C$17,"Tier 2",IF(AND($G46&lt;&gt;"",$G46&gt;=Assumptions!$C$17),"Tier 3 — micro-conversion tests only","Tier 3"))))</f>
        <v/>
      </c>
      <c r="P46" s="16" t="str">
        <f aca="false">IF(O46="","",IF(LEFT(O46,6)="Tier 1","Pursue — offer trial; 2-week tests on purchase metrics",IF(LEFT(O46,6)="Tier 2","Qualify — trial on top-traffic pages only; bold tests (≥10% lift)",IF(O46="Tier 3","Don't trial A/B — nurture or sell non-testing services","Trial only if tests are scored on CTA clicks / leads, not purchases"))))</f>
        <v/>
      </c>
    </row>
    <row r="47" customFormat="false" ht="15" hidden="false" customHeight="false" outlineLevel="0" collapsed="false">
      <c r="A47" s="13"/>
      <c r="B47" s="13"/>
      <c r="C47" s="14"/>
      <c r="D47" s="14"/>
      <c r="E47" s="15"/>
      <c r="F47" s="15"/>
      <c r="G47" s="14"/>
      <c r="H47" s="13"/>
      <c r="I47" s="16" t="str">
        <f aca="false">IF($C47&lt;&gt;"","Actual orders",IF($D47&lt;&gt;"","Est. from traffic",IF($E47&lt;&gt;"","Est. from revenue","")))</f>
        <v/>
      </c>
      <c r="J47" s="17" t="str">
        <f aca="false">IF($C47&lt;&gt;"",$C47,IF($D47&lt;&gt;"",$D47*IFERROR(INDEX(Assumptions!$C$31:$C$42,MATCH($B47,Assumptions!$B$31:$B$42,0)),Assumptions!$C$19),IF($E47&lt;&gt;"",$E47*1000000/12/IF($F47&lt;&gt;"",$F47,IFERROR(INDEX(Assumptions!$D$31:$D$42,MATCH($B47,Assumptions!$B$31:$B$42,0)),Assumptions!$C$20)),"")))</f>
        <v/>
      </c>
      <c r="K47" s="17" t="str">
        <f aca="false">IF($J47="","",$J47/Assumptions!$C$27)</f>
        <v/>
      </c>
      <c r="L47" s="18" t="str">
        <f aca="false">IF($K47="","",MAX(Assumptions!$C$9*Assumptions!$C$25/($K47*Assumptions!$C$10),0))</f>
        <v/>
      </c>
      <c r="M47" s="18" t="str">
        <f aca="false">IF($K47="","",MAX(Assumptions!$C$9*Assumptions!$C$26/($K47*Assumptions!$C$10),0))</f>
        <v/>
      </c>
      <c r="N47" s="19" t="str">
        <f aca="false">IF($K47="","",MIN(Assumptions!$C$14,52/MAX(Assumptions!$C$9*Assumptions!$C$25/($K47*Assumptions!$C$10),Assumptions!$C$13)))</f>
        <v/>
      </c>
      <c r="O47" s="20" t="str">
        <f aca="false">IF($K47="","",IF($K47&gt;=Assumptions!$C$16,"Tier 1",IF($K47&gt;=Assumptions!$C$17,"Tier 2",IF(AND($G47&lt;&gt;"",$G47&gt;=Assumptions!$C$17),"Tier 3 — micro-conversion tests only","Tier 3"))))</f>
        <v/>
      </c>
      <c r="P47" s="16" t="str">
        <f aca="false">IF(O47="","",IF(LEFT(O47,6)="Tier 1","Pursue — offer trial; 2-week tests on purchase metrics",IF(LEFT(O47,6)="Tier 2","Qualify — trial on top-traffic pages only; bold tests (≥10% lift)",IF(O47="Tier 3","Don't trial A/B — nurture or sell non-testing services","Trial only if tests are scored on CTA clicks / leads, not purchases"))))</f>
        <v/>
      </c>
    </row>
    <row r="48" customFormat="false" ht="15" hidden="false" customHeight="false" outlineLevel="0" collapsed="false">
      <c r="A48" s="13"/>
      <c r="B48" s="13"/>
      <c r="C48" s="14"/>
      <c r="D48" s="14"/>
      <c r="E48" s="15"/>
      <c r="F48" s="15"/>
      <c r="G48" s="14"/>
      <c r="H48" s="13"/>
      <c r="I48" s="16" t="str">
        <f aca="false">IF($C48&lt;&gt;"","Actual orders",IF($D48&lt;&gt;"","Est. from traffic",IF($E48&lt;&gt;"","Est. from revenue","")))</f>
        <v/>
      </c>
      <c r="J48" s="17" t="str">
        <f aca="false">IF($C48&lt;&gt;"",$C48,IF($D48&lt;&gt;"",$D48*IFERROR(INDEX(Assumptions!$C$31:$C$42,MATCH($B48,Assumptions!$B$31:$B$42,0)),Assumptions!$C$19),IF($E48&lt;&gt;"",$E48*1000000/12/IF($F48&lt;&gt;"",$F48,IFERROR(INDEX(Assumptions!$D$31:$D$42,MATCH($B48,Assumptions!$B$31:$B$42,0)),Assumptions!$C$20)),"")))</f>
        <v/>
      </c>
      <c r="K48" s="17" t="str">
        <f aca="false">IF($J48="","",$J48/Assumptions!$C$27)</f>
        <v/>
      </c>
      <c r="L48" s="18" t="str">
        <f aca="false">IF($K48="","",MAX(Assumptions!$C$9*Assumptions!$C$25/($K48*Assumptions!$C$10),0))</f>
        <v/>
      </c>
      <c r="M48" s="18" t="str">
        <f aca="false">IF($K48="","",MAX(Assumptions!$C$9*Assumptions!$C$26/($K48*Assumptions!$C$10),0))</f>
        <v/>
      </c>
      <c r="N48" s="19" t="str">
        <f aca="false">IF($K48="","",MIN(Assumptions!$C$14,52/MAX(Assumptions!$C$9*Assumptions!$C$25/($K48*Assumptions!$C$10),Assumptions!$C$13)))</f>
        <v/>
      </c>
      <c r="O48" s="20" t="str">
        <f aca="false">IF($K48="","",IF($K48&gt;=Assumptions!$C$16,"Tier 1",IF($K48&gt;=Assumptions!$C$17,"Tier 2",IF(AND($G48&lt;&gt;"",$G48&gt;=Assumptions!$C$17),"Tier 3 — micro-conversion tests only","Tier 3"))))</f>
        <v/>
      </c>
      <c r="P48" s="16" t="str">
        <f aca="false">IF(O48="","",IF(LEFT(O48,6)="Tier 1","Pursue — offer trial; 2-week tests on purchase metrics",IF(LEFT(O48,6)="Tier 2","Qualify — trial on top-traffic pages only; bold tests (≥10% lift)",IF(O48="Tier 3","Don't trial A/B — nurture or sell non-testing services","Trial only if tests are scored on CTA clicks / leads, not purchases"))))</f>
        <v/>
      </c>
    </row>
    <row r="49" customFormat="false" ht="15" hidden="false" customHeight="false" outlineLevel="0" collapsed="false">
      <c r="A49" s="13"/>
      <c r="B49" s="13"/>
      <c r="C49" s="14"/>
      <c r="D49" s="14"/>
      <c r="E49" s="15"/>
      <c r="F49" s="15"/>
      <c r="G49" s="14"/>
      <c r="H49" s="13"/>
      <c r="I49" s="16" t="str">
        <f aca="false">IF($C49&lt;&gt;"","Actual orders",IF($D49&lt;&gt;"","Est. from traffic",IF($E49&lt;&gt;"","Est. from revenue","")))</f>
        <v/>
      </c>
      <c r="J49" s="17" t="str">
        <f aca="false">IF($C49&lt;&gt;"",$C49,IF($D49&lt;&gt;"",$D49*IFERROR(INDEX(Assumptions!$C$31:$C$42,MATCH($B49,Assumptions!$B$31:$B$42,0)),Assumptions!$C$19),IF($E49&lt;&gt;"",$E49*1000000/12/IF($F49&lt;&gt;"",$F49,IFERROR(INDEX(Assumptions!$D$31:$D$42,MATCH($B49,Assumptions!$B$31:$B$42,0)),Assumptions!$C$20)),"")))</f>
        <v/>
      </c>
      <c r="K49" s="17" t="str">
        <f aca="false">IF($J49="","",$J49/Assumptions!$C$27)</f>
        <v/>
      </c>
      <c r="L49" s="18" t="str">
        <f aca="false">IF($K49="","",MAX(Assumptions!$C$9*Assumptions!$C$25/($K49*Assumptions!$C$10),0))</f>
        <v/>
      </c>
      <c r="M49" s="18" t="str">
        <f aca="false">IF($K49="","",MAX(Assumptions!$C$9*Assumptions!$C$26/($K49*Assumptions!$C$10),0))</f>
        <v/>
      </c>
      <c r="N49" s="19" t="str">
        <f aca="false">IF($K49="","",MIN(Assumptions!$C$14,52/MAX(Assumptions!$C$9*Assumptions!$C$25/($K49*Assumptions!$C$10),Assumptions!$C$13)))</f>
        <v/>
      </c>
      <c r="O49" s="20" t="str">
        <f aca="false">IF($K49="","",IF($K49&gt;=Assumptions!$C$16,"Tier 1",IF($K49&gt;=Assumptions!$C$17,"Tier 2",IF(AND($G49&lt;&gt;"",$G49&gt;=Assumptions!$C$17),"Tier 3 — micro-conversion tests only","Tier 3"))))</f>
        <v/>
      </c>
      <c r="P49" s="16" t="str">
        <f aca="false">IF(O49="","",IF(LEFT(O49,6)="Tier 1","Pursue — offer trial; 2-week tests on purchase metrics",IF(LEFT(O49,6)="Tier 2","Qualify — trial on top-traffic pages only; bold tests (≥10% lift)",IF(O49="Tier 3","Don't trial A/B — nurture or sell non-testing services","Trial only if tests are scored on CTA clicks / leads, not purchases"))))</f>
        <v/>
      </c>
    </row>
    <row r="50" customFormat="false" ht="15" hidden="false" customHeight="false" outlineLevel="0" collapsed="false">
      <c r="A50" s="13"/>
      <c r="B50" s="13"/>
      <c r="C50" s="14"/>
      <c r="D50" s="14"/>
      <c r="E50" s="15"/>
      <c r="F50" s="15"/>
      <c r="G50" s="14"/>
      <c r="H50" s="13"/>
      <c r="I50" s="16" t="str">
        <f aca="false">IF($C50&lt;&gt;"","Actual orders",IF($D50&lt;&gt;"","Est. from traffic",IF($E50&lt;&gt;"","Est. from revenue","")))</f>
        <v/>
      </c>
      <c r="J50" s="17" t="str">
        <f aca="false">IF($C50&lt;&gt;"",$C50,IF($D50&lt;&gt;"",$D50*IFERROR(INDEX(Assumptions!$C$31:$C$42,MATCH($B50,Assumptions!$B$31:$B$42,0)),Assumptions!$C$19),IF($E50&lt;&gt;"",$E50*1000000/12/IF($F50&lt;&gt;"",$F50,IFERROR(INDEX(Assumptions!$D$31:$D$42,MATCH($B50,Assumptions!$B$31:$B$42,0)),Assumptions!$C$20)),"")))</f>
        <v/>
      </c>
      <c r="K50" s="17" t="str">
        <f aca="false">IF($J50="","",$J50/Assumptions!$C$27)</f>
        <v/>
      </c>
      <c r="L50" s="18" t="str">
        <f aca="false">IF($K50="","",MAX(Assumptions!$C$9*Assumptions!$C$25/($K50*Assumptions!$C$10),0))</f>
        <v/>
      </c>
      <c r="M50" s="18" t="str">
        <f aca="false">IF($K50="","",MAX(Assumptions!$C$9*Assumptions!$C$26/($K50*Assumptions!$C$10),0))</f>
        <v/>
      </c>
      <c r="N50" s="19" t="str">
        <f aca="false">IF($K50="","",MIN(Assumptions!$C$14,52/MAX(Assumptions!$C$9*Assumptions!$C$25/($K50*Assumptions!$C$10),Assumptions!$C$13)))</f>
        <v/>
      </c>
      <c r="O50" s="20" t="str">
        <f aca="false">IF($K50="","",IF($K50&gt;=Assumptions!$C$16,"Tier 1",IF($K50&gt;=Assumptions!$C$17,"Tier 2",IF(AND($G50&lt;&gt;"",$G50&gt;=Assumptions!$C$17),"Tier 3 — micro-conversion tests only","Tier 3"))))</f>
        <v/>
      </c>
      <c r="P50" s="16" t="str">
        <f aca="false">IF(O50="","",IF(LEFT(O50,6)="Tier 1","Pursue — offer trial; 2-week tests on purchase metrics",IF(LEFT(O50,6)="Tier 2","Qualify — trial on top-traffic pages only; bold tests (≥10% lift)",IF(O50="Tier 3","Don't trial A/B — nurture or sell non-testing services","Trial only if tests are scored on CTA clicks / leads, not purchases"))))</f>
        <v/>
      </c>
    </row>
    <row r="51" customFormat="false" ht="15" hidden="false" customHeight="false" outlineLevel="0" collapsed="false">
      <c r="A51" s="13"/>
      <c r="B51" s="13"/>
      <c r="C51" s="14"/>
      <c r="D51" s="14"/>
      <c r="E51" s="15"/>
      <c r="F51" s="15"/>
      <c r="G51" s="14"/>
      <c r="H51" s="13"/>
      <c r="I51" s="16" t="str">
        <f aca="false">IF($C51&lt;&gt;"","Actual orders",IF($D51&lt;&gt;"","Est. from traffic",IF($E51&lt;&gt;"","Est. from revenue","")))</f>
        <v/>
      </c>
      <c r="J51" s="17" t="str">
        <f aca="false">IF($C51&lt;&gt;"",$C51,IF($D51&lt;&gt;"",$D51*IFERROR(INDEX(Assumptions!$C$31:$C$42,MATCH($B51,Assumptions!$B$31:$B$42,0)),Assumptions!$C$19),IF($E51&lt;&gt;"",$E51*1000000/12/IF($F51&lt;&gt;"",$F51,IFERROR(INDEX(Assumptions!$D$31:$D$42,MATCH($B51,Assumptions!$B$31:$B$42,0)),Assumptions!$C$20)),"")))</f>
        <v/>
      </c>
      <c r="K51" s="17" t="str">
        <f aca="false">IF($J51="","",$J51/Assumptions!$C$27)</f>
        <v/>
      </c>
      <c r="L51" s="18" t="str">
        <f aca="false">IF($K51="","",MAX(Assumptions!$C$9*Assumptions!$C$25/($K51*Assumptions!$C$10),0))</f>
        <v/>
      </c>
      <c r="M51" s="18" t="str">
        <f aca="false">IF($K51="","",MAX(Assumptions!$C$9*Assumptions!$C$26/($K51*Assumptions!$C$10),0))</f>
        <v/>
      </c>
      <c r="N51" s="19" t="str">
        <f aca="false">IF($K51="","",MIN(Assumptions!$C$14,52/MAX(Assumptions!$C$9*Assumptions!$C$25/($K51*Assumptions!$C$10),Assumptions!$C$13)))</f>
        <v/>
      </c>
      <c r="O51" s="20" t="str">
        <f aca="false">IF($K51="","",IF($K51&gt;=Assumptions!$C$16,"Tier 1",IF($K51&gt;=Assumptions!$C$17,"Tier 2",IF(AND($G51&lt;&gt;"",$G51&gt;=Assumptions!$C$17),"Tier 3 — micro-conversion tests only","Tier 3"))))</f>
        <v/>
      </c>
      <c r="P51" s="16" t="str">
        <f aca="false">IF(O51="","",IF(LEFT(O51,6)="Tier 1","Pursue — offer trial; 2-week tests on purchase metrics",IF(LEFT(O51,6)="Tier 2","Qualify — trial on top-traffic pages only; bold tests (≥10% lift)",IF(O51="Tier 3","Don't trial A/B — nurture or sell non-testing services","Trial only if tests are scored on CTA clicks / leads, not purchases"))))</f>
        <v/>
      </c>
    </row>
    <row r="52" customFormat="false" ht="15" hidden="false" customHeight="false" outlineLevel="0" collapsed="false">
      <c r="A52" s="13"/>
      <c r="B52" s="13"/>
      <c r="C52" s="14"/>
      <c r="D52" s="14"/>
      <c r="E52" s="15"/>
      <c r="F52" s="15"/>
      <c r="G52" s="14"/>
      <c r="H52" s="13"/>
      <c r="I52" s="16" t="str">
        <f aca="false">IF($C52&lt;&gt;"","Actual orders",IF($D52&lt;&gt;"","Est. from traffic",IF($E52&lt;&gt;"","Est. from revenue","")))</f>
        <v/>
      </c>
      <c r="J52" s="17" t="str">
        <f aca="false">IF($C52&lt;&gt;"",$C52,IF($D52&lt;&gt;"",$D52*IFERROR(INDEX(Assumptions!$C$31:$C$42,MATCH($B52,Assumptions!$B$31:$B$42,0)),Assumptions!$C$19),IF($E52&lt;&gt;"",$E52*1000000/12/IF($F52&lt;&gt;"",$F52,IFERROR(INDEX(Assumptions!$D$31:$D$42,MATCH($B52,Assumptions!$B$31:$B$42,0)),Assumptions!$C$20)),"")))</f>
        <v/>
      </c>
      <c r="K52" s="17" t="str">
        <f aca="false">IF($J52="","",$J52/Assumptions!$C$27)</f>
        <v/>
      </c>
      <c r="L52" s="18" t="str">
        <f aca="false">IF($K52="","",MAX(Assumptions!$C$9*Assumptions!$C$25/($K52*Assumptions!$C$10),0))</f>
        <v/>
      </c>
      <c r="M52" s="18" t="str">
        <f aca="false">IF($K52="","",MAX(Assumptions!$C$9*Assumptions!$C$26/($K52*Assumptions!$C$10),0))</f>
        <v/>
      </c>
      <c r="N52" s="19" t="str">
        <f aca="false">IF($K52="","",MIN(Assumptions!$C$14,52/MAX(Assumptions!$C$9*Assumptions!$C$25/($K52*Assumptions!$C$10),Assumptions!$C$13)))</f>
        <v/>
      </c>
      <c r="O52" s="20" t="str">
        <f aca="false">IF($K52="","",IF($K52&gt;=Assumptions!$C$16,"Tier 1",IF($K52&gt;=Assumptions!$C$17,"Tier 2",IF(AND($G52&lt;&gt;"",$G52&gt;=Assumptions!$C$17),"Tier 3 — micro-conversion tests only","Tier 3"))))</f>
        <v/>
      </c>
      <c r="P52" s="16" t="str">
        <f aca="false">IF(O52="","",IF(LEFT(O52,6)="Tier 1","Pursue — offer trial; 2-week tests on purchase metrics",IF(LEFT(O52,6)="Tier 2","Qualify — trial on top-traffic pages only; bold tests (≥10% lift)",IF(O52="Tier 3","Don't trial A/B — nurture or sell non-testing services","Trial only if tests are scored on CTA clicks / leads, not purchases"))))</f>
        <v/>
      </c>
    </row>
    <row r="53" customFormat="false" ht="15" hidden="false" customHeight="false" outlineLevel="0" collapsed="false">
      <c r="A53" s="13"/>
      <c r="B53" s="13"/>
      <c r="C53" s="14"/>
      <c r="D53" s="14"/>
      <c r="E53" s="15"/>
      <c r="F53" s="15"/>
      <c r="G53" s="14"/>
      <c r="H53" s="13"/>
      <c r="I53" s="16" t="str">
        <f aca="false">IF($C53&lt;&gt;"","Actual orders",IF($D53&lt;&gt;"","Est. from traffic",IF($E53&lt;&gt;"","Est. from revenue","")))</f>
        <v/>
      </c>
      <c r="J53" s="17" t="str">
        <f aca="false">IF($C53&lt;&gt;"",$C53,IF($D53&lt;&gt;"",$D53*IFERROR(INDEX(Assumptions!$C$31:$C$42,MATCH($B53,Assumptions!$B$31:$B$42,0)),Assumptions!$C$19),IF($E53&lt;&gt;"",$E53*1000000/12/IF($F53&lt;&gt;"",$F53,IFERROR(INDEX(Assumptions!$D$31:$D$42,MATCH($B53,Assumptions!$B$31:$B$42,0)),Assumptions!$C$20)),"")))</f>
        <v/>
      </c>
      <c r="K53" s="17" t="str">
        <f aca="false">IF($J53="","",$J53/Assumptions!$C$27)</f>
        <v/>
      </c>
      <c r="L53" s="18" t="str">
        <f aca="false">IF($K53="","",MAX(Assumptions!$C$9*Assumptions!$C$25/($K53*Assumptions!$C$10),0))</f>
        <v/>
      </c>
      <c r="M53" s="18" t="str">
        <f aca="false">IF($K53="","",MAX(Assumptions!$C$9*Assumptions!$C$26/($K53*Assumptions!$C$10),0))</f>
        <v/>
      </c>
      <c r="N53" s="19" t="str">
        <f aca="false">IF($K53="","",MIN(Assumptions!$C$14,52/MAX(Assumptions!$C$9*Assumptions!$C$25/($K53*Assumptions!$C$10),Assumptions!$C$13)))</f>
        <v/>
      </c>
      <c r="O53" s="20" t="str">
        <f aca="false">IF($K53="","",IF($K53&gt;=Assumptions!$C$16,"Tier 1",IF($K53&gt;=Assumptions!$C$17,"Tier 2",IF(AND($G53&lt;&gt;"",$G53&gt;=Assumptions!$C$17),"Tier 3 — micro-conversion tests only","Tier 3"))))</f>
        <v/>
      </c>
      <c r="P53" s="16" t="str">
        <f aca="false">IF(O53="","",IF(LEFT(O53,6)="Tier 1","Pursue — offer trial; 2-week tests on purchase metrics",IF(LEFT(O53,6)="Tier 2","Qualify — trial on top-traffic pages only; bold tests (≥10% lift)",IF(O53="Tier 3","Don't trial A/B — nurture or sell non-testing services","Trial only if tests are scored on CTA clicks / leads, not purchases"))))</f>
        <v/>
      </c>
    </row>
    <row r="54" customFormat="false" ht="15" hidden="false" customHeight="false" outlineLevel="0" collapsed="false">
      <c r="A54" s="13"/>
      <c r="B54" s="13"/>
      <c r="C54" s="14"/>
      <c r="D54" s="14"/>
      <c r="E54" s="15"/>
      <c r="F54" s="15"/>
      <c r="G54" s="14"/>
      <c r="H54" s="13"/>
      <c r="I54" s="16" t="str">
        <f aca="false">IF($C54&lt;&gt;"","Actual orders",IF($D54&lt;&gt;"","Est. from traffic",IF($E54&lt;&gt;"","Est. from revenue","")))</f>
        <v/>
      </c>
      <c r="J54" s="17" t="str">
        <f aca="false">IF($C54&lt;&gt;"",$C54,IF($D54&lt;&gt;"",$D54*IFERROR(INDEX(Assumptions!$C$31:$C$42,MATCH($B54,Assumptions!$B$31:$B$42,0)),Assumptions!$C$19),IF($E54&lt;&gt;"",$E54*1000000/12/IF($F54&lt;&gt;"",$F54,IFERROR(INDEX(Assumptions!$D$31:$D$42,MATCH($B54,Assumptions!$B$31:$B$42,0)),Assumptions!$C$20)),"")))</f>
        <v/>
      </c>
      <c r="K54" s="17" t="str">
        <f aca="false">IF($J54="","",$J54/Assumptions!$C$27)</f>
        <v/>
      </c>
      <c r="L54" s="18" t="str">
        <f aca="false">IF($K54="","",MAX(Assumptions!$C$9*Assumptions!$C$25/($K54*Assumptions!$C$10),0))</f>
        <v/>
      </c>
      <c r="M54" s="18" t="str">
        <f aca="false">IF($K54="","",MAX(Assumptions!$C$9*Assumptions!$C$26/($K54*Assumptions!$C$10),0))</f>
        <v/>
      </c>
      <c r="N54" s="19" t="str">
        <f aca="false">IF($K54="","",MIN(Assumptions!$C$14,52/MAX(Assumptions!$C$9*Assumptions!$C$25/($K54*Assumptions!$C$10),Assumptions!$C$13)))</f>
        <v/>
      </c>
      <c r="O54" s="20" t="str">
        <f aca="false">IF($K54="","",IF($K54&gt;=Assumptions!$C$16,"Tier 1",IF($K54&gt;=Assumptions!$C$17,"Tier 2",IF(AND($G54&lt;&gt;"",$G54&gt;=Assumptions!$C$17),"Tier 3 — micro-conversion tests only","Tier 3"))))</f>
        <v/>
      </c>
      <c r="P54" s="16" t="str">
        <f aca="false">IF(O54="","",IF(LEFT(O54,6)="Tier 1","Pursue — offer trial; 2-week tests on purchase metrics",IF(LEFT(O54,6)="Tier 2","Qualify — trial on top-traffic pages only; bold tests (≥10% lift)",IF(O54="Tier 3","Don't trial A/B — nurture or sell non-testing services","Trial only if tests are scored on CTA clicks / leads, not purchases"))))</f>
        <v/>
      </c>
    </row>
    <row r="55" customFormat="false" ht="15" hidden="false" customHeight="false" outlineLevel="0" collapsed="false">
      <c r="A55" s="13"/>
      <c r="B55" s="13"/>
      <c r="C55" s="14"/>
      <c r="D55" s="14"/>
      <c r="E55" s="15"/>
      <c r="F55" s="15"/>
      <c r="G55" s="14"/>
      <c r="H55" s="13"/>
      <c r="I55" s="16" t="str">
        <f aca="false">IF($C55&lt;&gt;"","Actual orders",IF($D55&lt;&gt;"","Est. from traffic",IF($E55&lt;&gt;"","Est. from revenue","")))</f>
        <v/>
      </c>
      <c r="J55" s="17" t="str">
        <f aca="false">IF($C55&lt;&gt;"",$C55,IF($D55&lt;&gt;"",$D55*IFERROR(INDEX(Assumptions!$C$31:$C$42,MATCH($B55,Assumptions!$B$31:$B$42,0)),Assumptions!$C$19),IF($E55&lt;&gt;"",$E55*1000000/12/IF($F55&lt;&gt;"",$F55,IFERROR(INDEX(Assumptions!$D$31:$D$42,MATCH($B55,Assumptions!$B$31:$B$42,0)),Assumptions!$C$20)),"")))</f>
        <v/>
      </c>
      <c r="K55" s="17" t="str">
        <f aca="false">IF($J55="","",$J55/Assumptions!$C$27)</f>
        <v/>
      </c>
      <c r="L55" s="18" t="str">
        <f aca="false">IF($K55="","",MAX(Assumptions!$C$9*Assumptions!$C$25/($K55*Assumptions!$C$10),0))</f>
        <v/>
      </c>
      <c r="M55" s="18" t="str">
        <f aca="false">IF($K55="","",MAX(Assumptions!$C$9*Assumptions!$C$26/($K55*Assumptions!$C$10),0))</f>
        <v/>
      </c>
      <c r="N55" s="19" t="str">
        <f aca="false">IF($K55="","",MIN(Assumptions!$C$14,52/MAX(Assumptions!$C$9*Assumptions!$C$25/($K55*Assumptions!$C$10),Assumptions!$C$13)))</f>
        <v/>
      </c>
      <c r="O55" s="20" t="str">
        <f aca="false">IF($K55="","",IF($K55&gt;=Assumptions!$C$16,"Tier 1",IF($K55&gt;=Assumptions!$C$17,"Tier 2",IF(AND($G55&lt;&gt;"",$G55&gt;=Assumptions!$C$17),"Tier 3 — micro-conversion tests only","Tier 3"))))</f>
        <v/>
      </c>
      <c r="P55" s="16" t="str">
        <f aca="false">IF(O55="","",IF(LEFT(O55,6)="Tier 1","Pursue — offer trial; 2-week tests on purchase metrics",IF(LEFT(O55,6)="Tier 2","Qualify — trial on top-traffic pages only; bold tests (≥10% lift)",IF(O55="Tier 3","Don't trial A/B — nurture or sell non-testing services","Trial only if tests are scored on CTA clicks / leads, not purchases"))))</f>
        <v/>
      </c>
    </row>
    <row r="56" customFormat="false" ht="15" hidden="false" customHeight="false" outlineLevel="0" collapsed="false">
      <c r="A56" s="13"/>
      <c r="B56" s="13"/>
      <c r="C56" s="14"/>
      <c r="D56" s="14"/>
      <c r="E56" s="15"/>
      <c r="F56" s="15"/>
      <c r="G56" s="14"/>
      <c r="H56" s="13"/>
      <c r="I56" s="16" t="str">
        <f aca="false">IF($C56&lt;&gt;"","Actual orders",IF($D56&lt;&gt;"","Est. from traffic",IF($E56&lt;&gt;"","Est. from revenue","")))</f>
        <v/>
      </c>
      <c r="J56" s="17" t="str">
        <f aca="false">IF($C56&lt;&gt;"",$C56,IF($D56&lt;&gt;"",$D56*IFERROR(INDEX(Assumptions!$C$31:$C$42,MATCH($B56,Assumptions!$B$31:$B$42,0)),Assumptions!$C$19),IF($E56&lt;&gt;"",$E56*1000000/12/IF($F56&lt;&gt;"",$F56,IFERROR(INDEX(Assumptions!$D$31:$D$42,MATCH($B56,Assumptions!$B$31:$B$42,0)),Assumptions!$C$20)),"")))</f>
        <v/>
      </c>
      <c r="K56" s="17" t="str">
        <f aca="false">IF($J56="","",$J56/Assumptions!$C$27)</f>
        <v/>
      </c>
      <c r="L56" s="18" t="str">
        <f aca="false">IF($K56="","",MAX(Assumptions!$C$9*Assumptions!$C$25/($K56*Assumptions!$C$10),0))</f>
        <v/>
      </c>
      <c r="M56" s="18" t="str">
        <f aca="false">IF($K56="","",MAX(Assumptions!$C$9*Assumptions!$C$26/($K56*Assumptions!$C$10),0))</f>
        <v/>
      </c>
      <c r="N56" s="19" t="str">
        <f aca="false">IF($K56="","",MIN(Assumptions!$C$14,52/MAX(Assumptions!$C$9*Assumptions!$C$25/($K56*Assumptions!$C$10),Assumptions!$C$13)))</f>
        <v/>
      </c>
      <c r="O56" s="20" t="str">
        <f aca="false">IF($K56="","",IF($K56&gt;=Assumptions!$C$16,"Tier 1",IF($K56&gt;=Assumptions!$C$17,"Tier 2",IF(AND($G56&lt;&gt;"",$G56&gt;=Assumptions!$C$17),"Tier 3 — micro-conversion tests only","Tier 3"))))</f>
        <v/>
      </c>
      <c r="P56" s="16" t="str">
        <f aca="false">IF(O56="","",IF(LEFT(O56,6)="Tier 1","Pursue — offer trial; 2-week tests on purchase metrics",IF(LEFT(O56,6)="Tier 2","Qualify — trial on top-traffic pages only; bold tests (≥10% lift)",IF(O56="Tier 3","Don't trial A/B — nurture or sell non-testing services","Trial only if tests are scored on CTA clicks / leads, not purchases"))))</f>
        <v/>
      </c>
    </row>
    <row r="57" customFormat="false" ht="15" hidden="false" customHeight="false" outlineLevel="0" collapsed="false">
      <c r="A57" s="13"/>
      <c r="B57" s="13"/>
      <c r="C57" s="14"/>
      <c r="D57" s="14"/>
      <c r="E57" s="15"/>
      <c r="F57" s="15"/>
      <c r="G57" s="14"/>
      <c r="H57" s="13"/>
      <c r="I57" s="16" t="str">
        <f aca="false">IF($C57&lt;&gt;"","Actual orders",IF($D57&lt;&gt;"","Est. from traffic",IF($E57&lt;&gt;"","Est. from revenue","")))</f>
        <v/>
      </c>
      <c r="J57" s="17" t="str">
        <f aca="false">IF($C57&lt;&gt;"",$C57,IF($D57&lt;&gt;"",$D57*IFERROR(INDEX(Assumptions!$C$31:$C$42,MATCH($B57,Assumptions!$B$31:$B$42,0)),Assumptions!$C$19),IF($E57&lt;&gt;"",$E57*1000000/12/IF($F57&lt;&gt;"",$F57,IFERROR(INDEX(Assumptions!$D$31:$D$42,MATCH($B57,Assumptions!$B$31:$B$42,0)),Assumptions!$C$20)),"")))</f>
        <v/>
      </c>
      <c r="K57" s="17" t="str">
        <f aca="false">IF($J57="","",$J57/Assumptions!$C$27)</f>
        <v/>
      </c>
      <c r="L57" s="18" t="str">
        <f aca="false">IF($K57="","",MAX(Assumptions!$C$9*Assumptions!$C$25/($K57*Assumptions!$C$10),0))</f>
        <v/>
      </c>
      <c r="M57" s="18" t="str">
        <f aca="false">IF($K57="","",MAX(Assumptions!$C$9*Assumptions!$C$26/($K57*Assumptions!$C$10),0))</f>
        <v/>
      </c>
      <c r="N57" s="19" t="str">
        <f aca="false">IF($K57="","",MIN(Assumptions!$C$14,52/MAX(Assumptions!$C$9*Assumptions!$C$25/($K57*Assumptions!$C$10),Assumptions!$C$13)))</f>
        <v/>
      </c>
      <c r="O57" s="20" t="str">
        <f aca="false">IF($K57="","",IF($K57&gt;=Assumptions!$C$16,"Tier 1",IF($K57&gt;=Assumptions!$C$17,"Tier 2",IF(AND($G57&lt;&gt;"",$G57&gt;=Assumptions!$C$17),"Tier 3 — micro-conversion tests only","Tier 3"))))</f>
        <v/>
      </c>
      <c r="P57" s="16" t="str">
        <f aca="false">IF(O57="","",IF(LEFT(O57,6)="Tier 1","Pursue — offer trial; 2-week tests on purchase metrics",IF(LEFT(O57,6)="Tier 2","Qualify — trial on top-traffic pages only; bold tests (≥10% lift)",IF(O57="Tier 3","Don't trial A/B — nurture or sell non-testing services","Trial only if tests are scored on CTA clicks / leads, not purchases"))))</f>
        <v/>
      </c>
    </row>
    <row r="58" customFormat="false" ht="15" hidden="false" customHeight="false" outlineLevel="0" collapsed="false">
      <c r="A58" s="13"/>
      <c r="B58" s="13"/>
      <c r="C58" s="14"/>
      <c r="D58" s="14"/>
      <c r="E58" s="15"/>
      <c r="F58" s="15"/>
      <c r="G58" s="14"/>
      <c r="H58" s="13"/>
      <c r="I58" s="16" t="str">
        <f aca="false">IF($C58&lt;&gt;"","Actual orders",IF($D58&lt;&gt;"","Est. from traffic",IF($E58&lt;&gt;"","Est. from revenue","")))</f>
        <v/>
      </c>
      <c r="J58" s="17" t="str">
        <f aca="false">IF($C58&lt;&gt;"",$C58,IF($D58&lt;&gt;"",$D58*IFERROR(INDEX(Assumptions!$C$31:$C$42,MATCH($B58,Assumptions!$B$31:$B$42,0)),Assumptions!$C$19),IF($E58&lt;&gt;"",$E58*1000000/12/IF($F58&lt;&gt;"",$F58,IFERROR(INDEX(Assumptions!$D$31:$D$42,MATCH($B58,Assumptions!$B$31:$B$42,0)),Assumptions!$C$20)),"")))</f>
        <v/>
      </c>
      <c r="K58" s="17" t="str">
        <f aca="false">IF($J58="","",$J58/Assumptions!$C$27)</f>
        <v/>
      </c>
      <c r="L58" s="18" t="str">
        <f aca="false">IF($K58="","",MAX(Assumptions!$C$9*Assumptions!$C$25/($K58*Assumptions!$C$10),0))</f>
        <v/>
      </c>
      <c r="M58" s="18" t="str">
        <f aca="false">IF($K58="","",MAX(Assumptions!$C$9*Assumptions!$C$26/($K58*Assumptions!$C$10),0))</f>
        <v/>
      </c>
      <c r="N58" s="19" t="str">
        <f aca="false">IF($K58="","",MIN(Assumptions!$C$14,52/MAX(Assumptions!$C$9*Assumptions!$C$25/($K58*Assumptions!$C$10),Assumptions!$C$13)))</f>
        <v/>
      </c>
      <c r="O58" s="20" t="str">
        <f aca="false">IF($K58="","",IF($K58&gt;=Assumptions!$C$16,"Tier 1",IF($K58&gt;=Assumptions!$C$17,"Tier 2",IF(AND($G58&lt;&gt;"",$G58&gt;=Assumptions!$C$17),"Tier 3 — micro-conversion tests only","Tier 3"))))</f>
        <v/>
      </c>
      <c r="P58" s="16" t="str">
        <f aca="false">IF(O58="","",IF(LEFT(O58,6)="Tier 1","Pursue — offer trial; 2-week tests on purchase metrics",IF(LEFT(O58,6)="Tier 2","Qualify — trial on top-traffic pages only; bold tests (≥10% lift)",IF(O58="Tier 3","Don't trial A/B — nurture or sell non-testing services","Trial only if tests are scored on CTA clicks / leads, not purchases"))))</f>
        <v/>
      </c>
    </row>
    <row r="59" customFormat="false" ht="15" hidden="false" customHeight="false" outlineLevel="0" collapsed="false">
      <c r="A59" s="13"/>
      <c r="B59" s="13"/>
      <c r="C59" s="14"/>
      <c r="D59" s="14"/>
      <c r="E59" s="15"/>
      <c r="F59" s="15"/>
      <c r="G59" s="14"/>
      <c r="H59" s="13"/>
      <c r="I59" s="16" t="str">
        <f aca="false">IF($C59&lt;&gt;"","Actual orders",IF($D59&lt;&gt;"","Est. from traffic",IF($E59&lt;&gt;"","Est. from revenue","")))</f>
        <v/>
      </c>
      <c r="J59" s="17" t="str">
        <f aca="false">IF($C59&lt;&gt;"",$C59,IF($D59&lt;&gt;"",$D59*IFERROR(INDEX(Assumptions!$C$31:$C$42,MATCH($B59,Assumptions!$B$31:$B$42,0)),Assumptions!$C$19),IF($E59&lt;&gt;"",$E59*1000000/12/IF($F59&lt;&gt;"",$F59,IFERROR(INDEX(Assumptions!$D$31:$D$42,MATCH($B59,Assumptions!$B$31:$B$42,0)),Assumptions!$C$20)),"")))</f>
        <v/>
      </c>
      <c r="K59" s="17" t="str">
        <f aca="false">IF($J59="","",$J59/Assumptions!$C$27)</f>
        <v/>
      </c>
      <c r="L59" s="18" t="str">
        <f aca="false">IF($K59="","",MAX(Assumptions!$C$9*Assumptions!$C$25/($K59*Assumptions!$C$10),0))</f>
        <v/>
      </c>
      <c r="M59" s="18" t="str">
        <f aca="false">IF($K59="","",MAX(Assumptions!$C$9*Assumptions!$C$26/($K59*Assumptions!$C$10),0))</f>
        <v/>
      </c>
      <c r="N59" s="19" t="str">
        <f aca="false">IF($K59="","",MIN(Assumptions!$C$14,52/MAX(Assumptions!$C$9*Assumptions!$C$25/($K59*Assumptions!$C$10),Assumptions!$C$13)))</f>
        <v/>
      </c>
      <c r="O59" s="20" t="str">
        <f aca="false">IF($K59="","",IF($K59&gt;=Assumptions!$C$16,"Tier 1",IF($K59&gt;=Assumptions!$C$17,"Tier 2",IF(AND($G59&lt;&gt;"",$G59&gt;=Assumptions!$C$17),"Tier 3 — micro-conversion tests only","Tier 3"))))</f>
        <v/>
      </c>
      <c r="P59" s="16" t="str">
        <f aca="false">IF(O59="","",IF(LEFT(O59,6)="Tier 1","Pursue — offer trial; 2-week tests on purchase metrics",IF(LEFT(O59,6)="Tier 2","Qualify — trial on top-traffic pages only; bold tests (≥10% lift)",IF(O59="Tier 3","Don't trial A/B — nurture or sell non-testing services","Trial only if tests are scored on CTA clicks / leads, not purchases"))))</f>
        <v/>
      </c>
    </row>
    <row r="60" customFormat="false" ht="15" hidden="false" customHeight="false" outlineLevel="0" collapsed="false">
      <c r="A60" s="13"/>
      <c r="B60" s="13"/>
      <c r="C60" s="14"/>
      <c r="D60" s="14"/>
      <c r="E60" s="15"/>
      <c r="F60" s="15"/>
      <c r="G60" s="14"/>
      <c r="H60" s="13"/>
      <c r="I60" s="16" t="str">
        <f aca="false">IF($C60&lt;&gt;"","Actual orders",IF($D60&lt;&gt;"","Est. from traffic",IF($E60&lt;&gt;"","Est. from revenue","")))</f>
        <v/>
      </c>
      <c r="J60" s="17" t="str">
        <f aca="false">IF($C60&lt;&gt;"",$C60,IF($D60&lt;&gt;"",$D60*IFERROR(INDEX(Assumptions!$C$31:$C$42,MATCH($B60,Assumptions!$B$31:$B$42,0)),Assumptions!$C$19),IF($E60&lt;&gt;"",$E60*1000000/12/IF($F60&lt;&gt;"",$F60,IFERROR(INDEX(Assumptions!$D$31:$D$42,MATCH($B60,Assumptions!$B$31:$B$42,0)),Assumptions!$C$20)),"")))</f>
        <v/>
      </c>
      <c r="K60" s="17" t="str">
        <f aca="false">IF($J60="","",$J60/Assumptions!$C$27)</f>
        <v/>
      </c>
      <c r="L60" s="18" t="str">
        <f aca="false">IF($K60="","",MAX(Assumptions!$C$9*Assumptions!$C$25/($K60*Assumptions!$C$10),0))</f>
        <v/>
      </c>
      <c r="M60" s="18" t="str">
        <f aca="false">IF($K60="","",MAX(Assumptions!$C$9*Assumptions!$C$26/($K60*Assumptions!$C$10),0))</f>
        <v/>
      </c>
      <c r="N60" s="19" t="str">
        <f aca="false">IF($K60="","",MIN(Assumptions!$C$14,52/MAX(Assumptions!$C$9*Assumptions!$C$25/($K60*Assumptions!$C$10),Assumptions!$C$13)))</f>
        <v/>
      </c>
      <c r="O60" s="20" t="str">
        <f aca="false">IF($K60="","",IF($K60&gt;=Assumptions!$C$16,"Tier 1",IF($K60&gt;=Assumptions!$C$17,"Tier 2",IF(AND($G60&lt;&gt;"",$G60&gt;=Assumptions!$C$17),"Tier 3 — micro-conversion tests only","Tier 3"))))</f>
        <v/>
      </c>
      <c r="P60" s="16" t="str">
        <f aca="false">IF(O60="","",IF(LEFT(O60,6)="Tier 1","Pursue — offer trial; 2-week tests on purchase metrics",IF(LEFT(O60,6)="Tier 2","Qualify — trial on top-traffic pages only; bold tests (≥10% lift)",IF(O60="Tier 3","Don't trial A/B — nurture or sell non-testing services","Trial only if tests are scored on CTA clicks / leads, not purchases"))))</f>
        <v/>
      </c>
    </row>
    <row r="61" customFormat="false" ht="15" hidden="false" customHeight="false" outlineLevel="0" collapsed="false">
      <c r="A61" s="13"/>
      <c r="B61" s="13"/>
      <c r="C61" s="14"/>
      <c r="D61" s="14"/>
      <c r="E61" s="15"/>
      <c r="F61" s="15"/>
      <c r="G61" s="14"/>
      <c r="H61" s="13"/>
      <c r="I61" s="16" t="str">
        <f aca="false">IF($C61&lt;&gt;"","Actual orders",IF($D61&lt;&gt;"","Est. from traffic",IF($E61&lt;&gt;"","Est. from revenue","")))</f>
        <v/>
      </c>
      <c r="J61" s="17" t="str">
        <f aca="false">IF($C61&lt;&gt;"",$C61,IF($D61&lt;&gt;"",$D61*IFERROR(INDEX(Assumptions!$C$31:$C$42,MATCH($B61,Assumptions!$B$31:$B$42,0)),Assumptions!$C$19),IF($E61&lt;&gt;"",$E61*1000000/12/IF($F61&lt;&gt;"",$F61,IFERROR(INDEX(Assumptions!$D$31:$D$42,MATCH($B61,Assumptions!$B$31:$B$42,0)),Assumptions!$C$20)),"")))</f>
        <v/>
      </c>
      <c r="K61" s="17" t="str">
        <f aca="false">IF($J61="","",$J61/Assumptions!$C$27)</f>
        <v/>
      </c>
      <c r="L61" s="18" t="str">
        <f aca="false">IF($K61="","",MAX(Assumptions!$C$9*Assumptions!$C$25/($K61*Assumptions!$C$10),0))</f>
        <v/>
      </c>
      <c r="M61" s="18" t="str">
        <f aca="false">IF($K61="","",MAX(Assumptions!$C$9*Assumptions!$C$26/($K61*Assumptions!$C$10),0))</f>
        <v/>
      </c>
      <c r="N61" s="19" t="str">
        <f aca="false">IF($K61="","",MIN(Assumptions!$C$14,52/MAX(Assumptions!$C$9*Assumptions!$C$25/($K61*Assumptions!$C$10),Assumptions!$C$13)))</f>
        <v/>
      </c>
      <c r="O61" s="20" t="str">
        <f aca="false">IF($K61="","",IF($K61&gt;=Assumptions!$C$16,"Tier 1",IF($K61&gt;=Assumptions!$C$17,"Tier 2",IF(AND($G61&lt;&gt;"",$G61&gt;=Assumptions!$C$17),"Tier 3 — micro-conversion tests only","Tier 3"))))</f>
        <v/>
      </c>
      <c r="P61" s="16" t="str">
        <f aca="false">IF(O61="","",IF(LEFT(O61,6)="Tier 1","Pursue — offer trial; 2-week tests on purchase metrics",IF(LEFT(O61,6)="Tier 2","Qualify — trial on top-traffic pages only; bold tests (≥10% lift)",IF(O61="Tier 3","Don't trial A/B — nurture or sell non-testing services","Trial only if tests are scored on CTA clicks / leads, not purchases"))))</f>
        <v/>
      </c>
    </row>
    <row r="62" customFormat="false" ht="15" hidden="false" customHeight="false" outlineLevel="0" collapsed="false">
      <c r="A62" s="13"/>
      <c r="B62" s="13"/>
      <c r="C62" s="14"/>
      <c r="D62" s="14"/>
      <c r="E62" s="15"/>
      <c r="F62" s="15"/>
      <c r="G62" s="14"/>
      <c r="H62" s="13"/>
      <c r="I62" s="16" t="str">
        <f aca="false">IF($C62&lt;&gt;"","Actual orders",IF($D62&lt;&gt;"","Est. from traffic",IF($E62&lt;&gt;"","Est. from revenue","")))</f>
        <v/>
      </c>
      <c r="J62" s="17" t="str">
        <f aca="false">IF($C62&lt;&gt;"",$C62,IF($D62&lt;&gt;"",$D62*IFERROR(INDEX(Assumptions!$C$31:$C$42,MATCH($B62,Assumptions!$B$31:$B$42,0)),Assumptions!$C$19),IF($E62&lt;&gt;"",$E62*1000000/12/IF($F62&lt;&gt;"",$F62,IFERROR(INDEX(Assumptions!$D$31:$D$42,MATCH($B62,Assumptions!$B$31:$B$42,0)),Assumptions!$C$20)),"")))</f>
        <v/>
      </c>
      <c r="K62" s="17" t="str">
        <f aca="false">IF($J62="","",$J62/Assumptions!$C$27)</f>
        <v/>
      </c>
      <c r="L62" s="18" t="str">
        <f aca="false">IF($K62="","",MAX(Assumptions!$C$9*Assumptions!$C$25/($K62*Assumptions!$C$10),0))</f>
        <v/>
      </c>
      <c r="M62" s="18" t="str">
        <f aca="false">IF($K62="","",MAX(Assumptions!$C$9*Assumptions!$C$26/($K62*Assumptions!$C$10),0))</f>
        <v/>
      </c>
      <c r="N62" s="19" t="str">
        <f aca="false">IF($K62="","",MIN(Assumptions!$C$14,52/MAX(Assumptions!$C$9*Assumptions!$C$25/($K62*Assumptions!$C$10),Assumptions!$C$13)))</f>
        <v/>
      </c>
      <c r="O62" s="20" t="str">
        <f aca="false">IF($K62="","",IF($K62&gt;=Assumptions!$C$16,"Tier 1",IF($K62&gt;=Assumptions!$C$17,"Tier 2",IF(AND($G62&lt;&gt;"",$G62&gt;=Assumptions!$C$17),"Tier 3 — micro-conversion tests only","Tier 3"))))</f>
        <v/>
      </c>
      <c r="P62" s="16" t="str">
        <f aca="false">IF(O62="","",IF(LEFT(O62,6)="Tier 1","Pursue — offer trial; 2-week tests on purchase metrics",IF(LEFT(O62,6)="Tier 2","Qualify — trial on top-traffic pages only; bold tests (≥10% lift)",IF(O62="Tier 3","Don't trial A/B — nurture or sell non-testing services","Trial only if tests are scored on CTA clicks / leads, not purchases"))))</f>
        <v/>
      </c>
    </row>
    <row r="63" customFormat="false" ht="15" hidden="false" customHeight="false" outlineLevel="0" collapsed="false">
      <c r="A63" s="13"/>
      <c r="B63" s="13"/>
      <c r="C63" s="14"/>
      <c r="D63" s="14"/>
      <c r="E63" s="15"/>
      <c r="F63" s="15"/>
      <c r="G63" s="14"/>
      <c r="H63" s="13"/>
      <c r="I63" s="16" t="str">
        <f aca="false">IF($C63&lt;&gt;"","Actual orders",IF($D63&lt;&gt;"","Est. from traffic",IF($E63&lt;&gt;"","Est. from revenue","")))</f>
        <v/>
      </c>
      <c r="J63" s="17" t="str">
        <f aca="false">IF($C63&lt;&gt;"",$C63,IF($D63&lt;&gt;"",$D63*IFERROR(INDEX(Assumptions!$C$31:$C$42,MATCH($B63,Assumptions!$B$31:$B$42,0)),Assumptions!$C$19),IF($E63&lt;&gt;"",$E63*1000000/12/IF($F63&lt;&gt;"",$F63,IFERROR(INDEX(Assumptions!$D$31:$D$42,MATCH($B63,Assumptions!$B$31:$B$42,0)),Assumptions!$C$20)),"")))</f>
        <v/>
      </c>
      <c r="K63" s="17" t="str">
        <f aca="false">IF($J63="","",$J63/Assumptions!$C$27)</f>
        <v/>
      </c>
      <c r="L63" s="18" t="str">
        <f aca="false">IF($K63="","",MAX(Assumptions!$C$9*Assumptions!$C$25/($K63*Assumptions!$C$10),0))</f>
        <v/>
      </c>
      <c r="M63" s="18" t="str">
        <f aca="false">IF($K63="","",MAX(Assumptions!$C$9*Assumptions!$C$26/($K63*Assumptions!$C$10),0))</f>
        <v/>
      </c>
      <c r="N63" s="19" t="str">
        <f aca="false">IF($K63="","",MIN(Assumptions!$C$14,52/MAX(Assumptions!$C$9*Assumptions!$C$25/($K63*Assumptions!$C$10),Assumptions!$C$13)))</f>
        <v/>
      </c>
      <c r="O63" s="20" t="str">
        <f aca="false">IF($K63="","",IF($K63&gt;=Assumptions!$C$16,"Tier 1",IF($K63&gt;=Assumptions!$C$17,"Tier 2",IF(AND($G63&lt;&gt;"",$G63&gt;=Assumptions!$C$17),"Tier 3 — micro-conversion tests only","Tier 3"))))</f>
        <v/>
      </c>
      <c r="P63" s="16" t="str">
        <f aca="false">IF(O63="","",IF(LEFT(O63,6)="Tier 1","Pursue — offer trial; 2-week tests on purchase metrics",IF(LEFT(O63,6)="Tier 2","Qualify — trial on top-traffic pages only; bold tests (≥10% lift)",IF(O63="Tier 3","Don't trial A/B — nurture or sell non-testing services","Trial only if tests are scored on CTA clicks / leads, not purchases"))))</f>
        <v/>
      </c>
    </row>
    <row r="64" customFormat="false" ht="15" hidden="false" customHeight="false" outlineLevel="0" collapsed="false">
      <c r="A64" s="13"/>
      <c r="B64" s="13"/>
      <c r="C64" s="14"/>
      <c r="D64" s="14"/>
      <c r="E64" s="15"/>
      <c r="F64" s="15"/>
      <c r="G64" s="14"/>
      <c r="H64" s="13"/>
      <c r="I64" s="16" t="str">
        <f aca="false">IF($C64&lt;&gt;"","Actual orders",IF($D64&lt;&gt;"","Est. from traffic",IF($E64&lt;&gt;"","Est. from revenue","")))</f>
        <v/>
      </c>
      <c r="J64" s="17" t="str">
        <f aca="false">IF($C64&lt;&gt;"",$C64,IF($D64&lt;&gt;"",$D64*IFERROR(INDEX(Assumptions!$C$31:$C$42,MATCH($B64,Assumptions!$B$31:$B$42,0)),Assumptions!$C$19),IF($E64&lt;&gt;"",$E64*1000000/12/IF($F64&lt;&gt;"",$F64,IFERROR(INDEX(Assumptions!$D$31:$D$42,MATCH($B64,Assumptions!$B$31:$B$42,0)),Assumptions!$C$20)),"")))</f>
        <v/>
      </c>
      <c r="K64" s="17" t="str">
        <f aca="false">IF($J64="","",$J64/Assumptions!$C$27)</f>
        <v/>
      </c>
      <c r="L64" s="18" t="str">
        <f aca="false">IF($K64="","",MAX(Assumptions!$C$9*Assumptions!$C$25/($K64*Assumptions!$C$10),0))</f>
        <v/>
      </c>
      <c r="M64" s="18" t="str">
        <f aca="false">IF($K64="","",MAX(Assumptions!$C$9*Assumptions!$C$26/($K64*Assumptions!$C$10),0))</f>
        <v/>
      </c>
      <c r="N64" s="19" t="str">
        <f aca="false">IF($K64="","",MIN(Assumptions!$C$14,52/MAX(Assumptions!$C$9*Assumptions!$C$25/($K64*Assumptions!$C$10),Assumptions!$C$13)))</f>
        <v/>
      </c>
      <c r="O64" s="20" t="str">
        <f aca="false">IF($K64="","",IF($K64&gt;=Assumptions!$C$16,"Tier 1",IF($K64&gt;=Assumptions!$C$17,"Tier 2",IF(AND($G64&lt;&gt;"",$G64&gt;=Assumptions!$C$17),"Tier 3 — micro-conversion tests only","Tier 3"))))</f>
        <v/>
      </c>
      <c r="P64" s="16" t="str">
        <f aca="false">IF(O64="","",IF(LEFT(O64,6)="Tier 1","Pursue — offer trial; 2-week tests on purchase metrics",IF(LEFT(O64,6)="Tier 2","Qualify — trial on top-traffic pages only; bold tests (≥10% lift)",IF(O64="Tier 3","Don't trial A/B — nurture or sell non-testing services","Trial only if tests are scored on CTA clicks / leads, not purchases"))))</f>
        <v/>
      </c>
    </row>
    <row r="65" customFormat="false" ht="15" hidden="false" customHeight="false" outlineLevel="0" collapsed="false">
      <c r="A65" s="13"/>
      <c r="B65" s="13"/>
      <c r="C65" s="14"/>
      <c r="D65" s="14"/>
      <c r="E65" s="15"/>
      <c r="F65" s="15"/>
      <c r="G65" s="14"/>
      <c r="H65" s="13"/>
      <c r="I65" s="16" t="str">
        <f aca="false">IF($C65&lt;&gt;"","Actual orders",IF($D65&lt;&gt;"","Est. from traffic",IF($E65&lt;&gt;"","Est. from revenue","")))</f>
        <v/>
      </c>
      <c r="J65" s="17" t="str">
        <f aca="false">IF($C65&lt;&gt;"",$C65,IF($D65&lt;&gt;"",$D65*IFERROR(INDEX(Assumptions!$C$31:$C$42,MATCH($B65,Assumptions!$B$31:$B$42,0)),Assumptions!$C$19),IF($E65&lt;&gt;"",$E65*1000000/12/IF($F65&lt;&gt;"",$F65,IFERROR(INDEX(Assumptions!$D$31:$D$42,MATCH($B65,Assumptions!$B$31:$B$42,0)),Assumptions!$C$20)),"")))</f>
        <v/>
      </c>
      <c r="K65" s="17" t="str">
        <f aca="false">IF($J65="","",$J65/Assumptions!$C$27)</f>
        <v/>
      </c>
      <c r="L65" s="18" t="str">
        <f aca="false">IF($K65="","",MAX(Assumptions!$C$9*Assumptions!$C$25/($K65*Assumptions!$C$10),0))</f>
        <v/>
      </c>
      <c r="M65" s="18" t="str">
        <f aca="false">IF($K65="","",MAX(Assumptions!$C$9*Assumptions!$C$26/($K65*Assumptions!$C$10),0))</f>
        <v/>
      </c>
      <c r="N65" s="19" t="str">
        <f aca="false">IF($K65="","",MIN(Assumptions!$C$14,52/MAX(Assumptions!$C$9*Assumptions!$C$25/($K65*Assumptions!$C$10),Assumptions!$C$13)))</f>
        <v/>
      </c>
      <c r="O65" s="20" t="str">
        <f aca="false">IF($K65="","",IF($K65&gt;=Assumptions!$C$16,"Tier 1",IF($K65&gt;=Assumptions!$C$17,"Tier 2",IF(AND($G65&lt;&gt;"",$G65&gt;=Assumptions!$C$17),"Tier 3 — micro-conversion tests only","Tier 3"))))</f>
        <v/>
      </c>
      <c r="P65" s="16" t="str">
        <f aca="false">IF(O65="","",IF(LEFT(O65,6)="Tier 1","Pursue — offer trial; 2-week tests on purchase metrics",IF(LEFT(O65,6)="Tier 2","Qualify — trial on top-traffic pages only; bold tests (≥10% lift)",IF(O65="Tier 3","Don't trial A/B — nurture or sell non-testing services","Trial only if tests are scored on CTA clicks / leads, not purchases"))))</f>
        <v/>
      </c>
    </row>
    <row r="66" customFormat="false" ht="15" hidden="false" customHeight="false" outlineLevel="0" collapsed="false">
      <c r="A66" s="13"/>
      <c r="B66" s="13"/>
      <c r="C66" s="14"/>
      <c r="D66" s="14"/>
      <c r="E66" s="15"/>
      <c r="F66" s="15"/>
      <c r="G66" s="14"/>
      <c r="H66" s="13"/>
      <c r="I66" s="16" t="str">
        <f aca="false">IF($C66&lt;&gt;"","Actual orders",IF($D66&lt;&gt;"","Est. from traffic",IF($E66&lt;&gt;"","Est. from revenue","")))</f>
        <v/>
      </c>
      <c r="J66" s="17" t="str">
        <f aca="false">IF($C66&lt;&gt;"",$C66,IF($D66&lt;&gt;"",$D66*IFERROR(INDEX(Assumptions!$C$31:$C$42,MATCH($B66,Assumptions!$B$31:$B$42,0)),Assumptions!$C$19),IF($E66&lt;&gt;"",$E66*1000000/12/IF($F66&lt;&gt;"",$F66,IFERROR(INDEX(Assumptions!$D$31:$D$42,MATCH($B66,Assumptions!$B$31:$B$42,0)),Assumptions!$C$20)),"")))</f>
        <v/>
      </c>
      <c r="K66" s="17" t="str">
        <f aca="false">IF($J66="","",$J66/Assumptions!$C$27)</f>
        <v/>
      </c>
      <c r="L66" s="18" t="str">
        <f aca="false">IF($K66="","",MAX(Assumptions!$C$9*Assumptions!$C$25/($K66*Assumptions!$C$10),0))</f>
        <v/>
      </c>
      <c r="M66" s="18" t="str">
        <f aca="false">IF($K66="","",MAX(Assumptions!$C$9*Assumptions!$C$26/($K66*Assumptions!$C$10),0))</f>
        <v/>
      </c>
      <c r="N66" s="19" t="str">
        <f aca="false">IF($K66="","",MIN(Assumptions!$C$14,52/MAX(Assumptions!$C$9*Assumptions!$C$25/($K66*Assumptions!$C$10),Assumptions!$C$13)))</f>
        <v/>
      </c>
      <c r="O66" s="20" t="str">
        <f aca="false">IF($K66="","",IF($K66&gt;=Assumptions!$C$16,"Tier 1",IF($K66&gt;=Assumptions!$C$17,"Tier 2",IF(AND($G66&lt;&gt;"",$G66&gt;=Assumptions!$C$17),"Tier 3 — micro-conversion tests only","Tier 3"))))</f>
        <v/>
      </c>
      <c r="P66" s="16" t="str">
        <f aca="false">IF(O66="","",IF(LEFT(O66,6)="Tier 1","Pursue — offer trial; 2-week tests on purchase metrics",IF(LEFT(O66,6)="Tier 2","Qualify — trial on top-traffic pages only; bold tests (≥10% lift)",IF(O66="Tier 3","Don't trial A/B — nurture or sell non-testing services","Trial only if tests are scored on CTA clicks / leads, not purchases"))))</f>
        <v/>
      </c>
    </row>
    <row r="67" customFormat="false" ht="15" hidden="false" customHeight="false" outlineLevel="0" collapsed="false">
      <c r="A67" s="13"/>
      <c r="B67" s="13"/>
      <c r="C67" s="14"/>
      <c r="D67" s="14"/>
      <c r="E67" s="15"/>
      <c r="F67" s="15"/>
      <c r="G67" s="14"/>
      <c r="H67" s="13"/>
      <c r="I67" s="16" t="str">
        <f aca="false">IF($C67&lt;&gt;"","Actual orders",IF($D67&lt;&gt;"","Est. from traffic",IF($E67&lt;&gt;"","Est. from revenue","")))</f>
        <v/>
      </c>
      <c r="J67" s="17" t="str">
        <f aca="false">IF($C67&lt;&gt;"",$C67,IF($D67&lt;&gt;"",$D67*IFERROR(INDEX(Assumptions!$C$31:$C$42,MATCH($B67,Assumptions!$B$31:$B$42,0)),Assumptions!$C$19),IF($E67&lt;&gt;"",$E67*1000000/12/IF($F67&lt;&gt;"",$F67,IFERROR(INDEX(Assumptions!$D$31:$D$42,MATCH($B67,Assumptions!$B$31:$B$42,0)),Assumptions!$C$20)),"")))</f>
        <v/>
      </c>
      <c r="K67" s="17" t="str">
        <f aca="false">IF($J67="","",$J67/Assumptions!$C$27)</f>
        <v/>
      </c>
      <c r="L67" s="18" t="str">
        <f aca="false">IF($K67="","",MAX(Assumptions!$C$9*Assumptions!$C$25/($K67*Assumptions!$C$10),0))</f>
        <v/>
      </c>
      <c r="M67" s="18" t="str">
        <f aca="false">IF($K67="","",MAX(Assumptions!$C$9*Assumptions!$C$26/($K67*Assumptions!$C$10),0))</f>
        <v/>
      </c>
      <c r="N67" s="19" t="str">
        <f aca="false">IF($K67="","",MIN(Assumptions!$C$14,52/MAX(Assumptions!$C$9*Assumptions!$C$25/($K67*Assumptions!$C$10),Assumptions!$C$13)))</f>
        <v/>
      </c>
      <c r="O67" s="20" t="str">
        <f aca="false">IF($K67="","",IF($K67&gt;=Assumptions!$C$16,"Tier 1",IF($K67&gt;=Assumptions!$C$17,"Tier 2",IF(AND($G67&lt;&gt;"",$G67&gt;=Assumptions!$C$17),"Tier 3 — micro-conversion tests only","Tier 3"))))</f>
        <v/>
      </c>
      <c r="P67" s="16" t="str">
        <f aca="false">IF(O67="","",IF(LEFT(O67,6)="Tier 1","Pursue — offer trial; 2-week tests on purchase metrics",IF(LEFT(O67,6)="Tier 2","Qualify — trial on top-traffic pages only; bold tests (≥10% lift)",IF(O67="Tier 3","Don't trial A/B — nurture or sell non-testing services","Trial only if tests are scored on CTA clicks / leads, not purchases"))))</f>
        <v/>
      </c>
    </row>
    <row r="68" customFormat="false" ht="15" hidden="false" customHeight="false" outlineLevel="0" collapsed="false">
      <c r="A68" s="13"/>
      <c r="B68" s="13"/>
      <c r="C68" s="14"/>
      <c r="D68" s="14"/>
      <c r="E68" s="15"/>
      <c r="F68" s="15"/>
      <c r="G68" s="14"/>
      <c r="H68" s="13"/>
      <c r="I68" s="16" t="str">
        <f aca="false">IF($C68&lt;&gt;"","Actual orders",IF($D68&lt;&gt;"","Est. from traffic",IF($E68&lt;&gt;"","Est. from revenue","")))</f>
        <v/>
      </c>
      <c r="J68" s="17" t="str">
        <f aca="false">IF($C68&lt;&gt;"",$C68,IF($D68&lt;&gt;"",$D68*IFERROR(INDEX(Assumptions!$C$31:$C$42,MATCH($B68,Assumptions!$B$31:$B$42,0)),Assumptions!$C$19),IF($E68&lt;&gt;"",$E68*1000000/12/IF($F68&lt;&gt;"",$F68,IFERROR(INDEX(Assumptions!$D$31:$D$42,MATCH($B68,Assumptions!$B$31:$B$42,0)),Assumptions!$C$20)),"")))</f>
        <v/>
      </c>
      <c r="K68" s="17" t="str">
        <f aca="false">IF($J68="","",$J68/Assumptions!$C$27)</f>
        <v/>
      </c>
      <c r="L68" s="18" t="str">
        <f aca="false">IF($K68="","",MAX(Assumptions!$C$9*Assumptions!$C$25/($K68*Assumptions!$C$10),0))</f>
        <v/>
      </c>
      <c r="M68" s="18" t="str">
        <f aca="false">IF($K68="","",MAX(Assumptions!$C$9*Assumptions!$C$26/($K68*Assumptions!$C$10),0))</f>
        <v/>
      </c>
      <c r="N68" s="19" t="str">
        <f aca="false">IF($K68="","",MIN(Assumptions!$C$14,52/MAX(Assumptions!$C$9*Assumptions!$C$25/($K68*Assumptions!$C$10),Assumptions!$C$13)))</f>
        <v/>
      </c>
      <c r="O68" s="20" t="str">
        <f aca="false">IF($K68="","",IF($K68&gt;=Assumptions!$C$16,"Tier 1",IF($K68&gt;=Assumptions!$C$17,"Tier 2",IF(AND($G68&lt;&gt;"",$G68&gt;=Assumptions!$C$17),"Tier 3 — micro-conversion tests only","Tier 3"))))</f>
        <v/>
      </c>
      <c r="P68" s="16" t="str">
        <f aca="false">IF(O68="","",IF(LEFT(O68,6)="Tier 1","Pursue — offer trial; 2-week tests on purchase metrics",IF(LEFT(O68,6)="Tier 2","Qualify — trial on top-traffic pages only; bold tests (≥10% lift)",IF(O68="Tier 3","Don't trial A/B — nurture or sell non-testing services","Trial only if tests are scored on CTA clicks / leads, not purchases"))))</f>
        <v/>
      </c>
    </row>
    <row r="69" customFormat="false" ht="15" hidden="false" customHeight="false" outlineLevel="0" collapsed="false">
      <c r="A69" s="13"/>
      <c r="B69" s="13"/>
      <c r="C69" s="14"/>
      <c r="D69" s="14"/>
      <c r="E69" s="15"/>
      <c r="F69" s="15"/>
      <c r="G69" s="14"/>
      <c r="H69" s="13"/>
      <c r="I69" s="16" t="str">
        <f aca="false">IF($C69&lt;&gt;"","Actual orders",IF($D69&lt;&gt;"","Est. from traffic",IF($E69&lt;&gt;"","Est. from revenue","")))</f>
        <v/>
      </c>
      <c r="J69" s="17" t="str">
        <f aca="false">IF($C69&lt;&gt;"",$C69,IF($D69&lt;&gt;"",$D69*IFERROR(INDEX(Assumptions!$C$31:$C$42,MATCH($B69,Assumptions!$B$31:$B$42,0)),Assumptions!$C$19),IF($E69&lt;&gt;"",$E69*1000000/12/IF($F69&lt;&gt;"",$F69,IFERROR(INDEX(Assumptions!$D$31:$D$42,MATCH($B69,Assumptions!$B$31:$B$42,0)),Assumptions!$C$20)),"")))</f>
        <v/>
      </c>
      <c r="K69" s="17" t="str">
        <f aca="false">IF($J69="","",$J69/Assumptions!$C$27)</f>
        <v/>
      </c>
      <c r="L69" s="18" t="str">
        <f aca="false">IF($K69="","",MAX(Assumptions!$C$9*Assumptions!$C$25/($K69*Assumptions!$C$10),0))</f>
        <v/>
      </c>
      <c r="M69" s="18" t="str">
        <f aca="false">IF($K69="","",MAX(Assumptions!$C$9*Assumptions!$C$26/($K69*Assumptions!$C$10),0))</f>
        <v/>
      </c>
      <c r="N69" s="19" t="str">
        <f aca="false">IF($K69="","",MIN(Assumptions!$C$14,52/MAX(Assumptions!$C$9*Assumptions!$C$25/($K69*Assumptions!$C$10),Assumptions!$C$13)))</f>
        <v/>
      </c>
      <c r="O69" s="20" t="str">
        <f aca="false">IF($K69="","",IF($K69&gt;=Assumptions!$C$16,"Tier 1",IF($K69&gt;=Assumptions!$C$17,"Tier 2",IF(AND($G69&lt;&gt;"",$G69&gt;=Assumptions!$C$17),"Tier 3 — micro-conversion tests only","Tier 3"))))</f>
        <v/>
      </c>
      <c r="P69" s="16" t="str">
        <f aca="false">IF(O69="","",IF(LEFT(O69,6)="Tier 1","Pursue — offer trial; 2-week tests on purchase metrics",IF(LEFT(O69,6)="Tier 2","Qualify — trial on top-traffic pages only; bold tests (≥10% lift)",IF(O69="Tier 3","Don't trial A/B — nurture or sell non-testing services","Trial only if tests are scored on CTA clicks / leads, not purchases"))))</f>
        <v/>
      </c>
    </row>
    <row r="70" customFormat="false" ht="15" hidden="false" customHeight="false" outlineLevel="0" collapsed="false">
      <c r="A70" s="13"/>
      <c r="B70" s="13"/>
      <c r="C70" s="14"/>
      <c r="D70" s="14"/>
      <c r="E70" s="15"/>
      <c r="F70" s="15"/>
      <c r="G70" s="14"/>
      <c r="H70" s="13"/>
      <c r="I70" s="16" t="str">
        <f aca="false">IF($C70&lt;&gt;"","Actual orders",IF($D70&lt;&gt;"","Est. from traffic",IF($E70&lt;&gt;"","Est. from revenue","")))</f>
        <v/>
      </c>
      <c r="J70" s="17" t="str">
        <f aca="false">IF($C70&lt;&gt;"",$C70,IF($D70&lt;&gt;"",$D70*IFERROR(INDEX(Assumptions!$C$31:$C$42,MATCH($B70,Assumptions!$B$31:$B$42,0)),Assumptions!$C$19),IF($E70&lt;&gt;"",$E70*1000000/12/IF($F70&lt;&gt;"",$F70,IFERROR(INDEX(Assumptions!$D$31:$D$42,MATCH($B70,Assumptions!$B$31:$B$42,0)),Assumptions!$C$20)),"")))</f>
        <v/>
      </c>
      <c r="K70" s="17" t="str">
        <f aca="false">IF($J70="","",$J70/Assumptions!$C$27)</f>
        <v/>
      </c>
      <c r="L70" s="18" t="str">
        <f aca="false">IF($K70="","",MAX(Assumptions!$C$9*Assumptions!$C$25/($K70*Assumptions!$C$10),0))</f>
        <v/>
      </c>
      <c r="M70" s="18" t="str">
        <f aca="false">IF($K70="","",MAX(Assumptions!$C$9*Assumptions!$C$26/($K70*Assumptions!$C$10),0))</f>
        <v/>
      </c>
      <c r="N70" s="19" t="str">
        <f aca="false">IF($K70="","",MIN(Assumptions!$C$14,52/MAX(Assumptions!$C$9*Assumptions!$C$25/($K70*Assumptions!$C$10),Assumptions!$C$13)))</f>
        <v/>
      </c>
      <c r="O70" s="20" t="str">
        <f aca="false">IF($K70="","",IF($K70&gt;=Assumptions!$C$16,"Tier 1",IF($K70&gt;=Assumptions!$C$17,"Tier 2",IF(AND($G70&lt;&gt;"",$G70&gt;=Assumptions!$C$17),"Tier 3 — micro-conversion tests only","Tier 3"))))</f>
        <v/>
      </c>
      <c r="P70" s="16" t="str">
        <f aca="false">IF(O70="","",IF(LEFT(O70,6)="Tier 1","Pursue — offer trial; 2-week tests on purchase metrics",IF(LEFT(O70,6)="Tier 2","Qualify — trial on top-traffic pages only; bold tests (≥10% lift)",IF(O70="Tier 3","Don't trial A/B — nurture or sell non-testing services","Trial only if tests are scored on CTA clicks / leads, not purchases"))))</f>
        <v/>
      </c>
    </row>
    <row r="71" customFormat="false" ht="15" hidden="false" customHeight="false" outlineLevel="0" collapsed="false">
      <c r="A71" s="13"/>
      <c r="B71" s="13"/>
      <c r="C71" s="14"/>
      <c r="D71" s="14"/>
      <c r="E71" s="15"/>
      <c r="F71" s="15"/>
      <c r="G71" s="14"/>
      <c r="H71" s="13"/>
      <c r="I71" s="16" t="str">
        <f aca="false">IF($C71&lt;&gt;"","Actual orders",IF($D71&lt;&gt;"","Est. from traffic",IF($E71&lt;&gt;"","Est. from revenue","")))</f>
        <v/>
      </c>
      <c r="J71" s="17" t="str">
        <f aca="false">IF($C71&lt;&gt;"",$C71,IF($D71&lt;&gt;"",$D71*IFERROR(INDEX(Assumptions!$C$31:$C$42,MATCH($B71,Assumptions!$B$31:$B$42,0)),Assumptions!$C$19),IF($E71&lt;&gt;"",$E71*1000000/12/IF($F71&lt;&gt;"",$F71,IFERROR(INDEX(Assumptions!$D$31:$D$42,MATCH($B71,Assumptions!$B$31:$B$42,0)),Assumptions!$C$20)),"")))</f>
        <v/>
      </c>
      <c r="K71" s="17" t="str">
        <f aca="false">IF($J71="","",$J71/Assumptions!$C$27)</f>
        <v/>
      </c>
      <c r="L71" s="18" t="str">
        <f aca="false">IF($K71="","",MAX(Assumptions!$C$9*Assumptions!$C$25/($K71*Assumptions!$C$10),0))</f>
        <v/>
      </c>
      <c r="M71" s="18" t="str">
        <f aca="false">IF($K71="","",MAX(Assumptions!$C$9*Assumptions!$C$26/($K71*Assumptions!$C$10),0))</f>
        <v/>
      </c>
      <c r="N71" s="19" t="str">
        <f aca="false">IF($K71="","",MIN(Assumptions!$C$14,52/MAX(Assumptions!$C$9*Assumptions!$C$25/($K71*Assumptions!$C$10),Assumptions!$C$13)))</f>
        <v/>
      </c>
      <c r="O71" s="20" t="str">
        <f aca="false">IF($K71="","",IF($K71&gt;=Assumptions!$C$16,"Tier 1",IF($K71&gt;=Assumptions!$C$17,"Tier 2",IF(AND($G71&lt;&gt;"",$G71&gt;=Assumptions!$C$17),"Tier 3 — micro-conversion tests only","Tier 3"))))</f>
        <v/>
      </c>
      <c r="P71" s="16" t="str">
        <f aca="false">IF(O71="","",IF(LEFT(O71,6)="Tier 1","Pursue — offer trial; 2-week tests on purchase metrics",IF(LEFT(O71,6)="Tier 2","Qualify — trial on top-traffic pages only; bold tests (≥10% lift)",IF(O71="Tier 3","Don't trial A/B — nurture or sell non-testing services","Trial only if tests are scored on CTA clicks / leads, not purchases"))))</f>
        <v/>
      </c>
    </row>
    <row r="72" customFormat="false" ht="15" hidden="false" customHeight="false" outlineLevel="0" collapsed="false">
      <c r="A72" s="13"/>
      <c r="B72" s="13"/>
      <c r="C72" s="14"/>
      <c r="D72" s="14"/>
      <c r="E72" s="15"/>
      <c r="F72" s="15"/>
      <c r="G72" s="14"/>
      <c r="H72" s="13"/>
      <c r="I72" s="16" t="str">
        <f aca="false">IF($C72&lt;&gt;"","Actual orders",IF($D72&lt;&gt;"","Est. from traffic",IF($E72&lt;&gt;"","Est. from revenue","")))</f>
        <v/>
      </c>
      <c r="J72" s="17" t="str">
        <f aca="false">IF($C72&lt;&gt;"",$C72,IF($D72&lt;&gt;"",$D72*IFERROR(INDEX(Assumptions!$C$31:$C$42,MATCH($B72,Assumptions!$B$31:$B$42,0)),Assumptions!$C$19),IF($E72&lt;&gt;"",$E72*1000000/12/IF($F72&lt;&gt;"",$F72,IFERROR(INDEX(Assumptions!$D$31:$D$42,MATCH($B72,Assumptions!$B$31:$B$42,0)),Assumptions!$C$20)),"")))</f>
        <v/>
      </c>
      <c r="K72" s="17" t="str">
        <f aca="false">IF($J72="","",$J72/Assumptions!$C$27)</f>
        <v/>
      </c>
      <c r="L72" s="18" t="str">
        <f aca="false">IF($K72="","",MAX(Assumptions!$C$9*Assumptions!$C$25/($K72*Assumptions!$C$10),0))</f>
        <v/>
      </c>
      <c r="M72" s="18" t="str">
        <f aca="false">IF($K72="","",MAX(Assumptions!$C$9*Assumptions!$C$26/($K72*Assumptions!$C$10),0))</f>
        <v/>
      </c>
      <c r="N72" s="19" t="str">
        <f aca="false">IF($K72="","",MIN(Assumptions!$C$14,52/MAX(Assumptions!$C$9*Assumptions!$C$25/($K72*Assumptions!$C$10),Assumptions!$C$13)))</f>
        <v/>
      </c>
      <c r="O72" s="20" t="str">
        <f aca="false">IF($K72="","",IF($K72&gt;=Assumptions!$C$16,"Tier 1",IF($K72&gt;=Assumptions!$C$17,"Tier 2",IF(AND($G72&lt;&gt;"",$G72&gt;=Assumptions!$C$17),"Tier 3 — micro-conversion tests only","Tier 3"))))</f>
        <v/>
      </c>
      <c r="P72" s="16" t="str">
        <f aca="false">IF(O72="","",IF(LEFT(O72,6)="Tier 1","Pursue — offer trial; 2-week tests on purchase metrics",IF(LEFT(O72,6)="Tier 2","Qualify — trial on top-traffic pages only; bold tests (≥10% lift)",IF(O72="Tier 3","Don't trial A/B — nurture or sell non-testing services","Trial only if tests are scored on CTA clicks / leads, not purchases"))))</f>
        <v/>
      </c>
    </row>
    <row r="73" customFormat="false" ht="15" hidden="false" customHeight="false" outlineLevel="0" collapsed="false">
      <c r="A73" s="13"/>
      <c r="B73" s="13"/>
      <c r="C73" s="14"/>
      <c r="D73" s="14"/>
      <c r="E73" s="15"/>
      <c r="F73" s="15"/>
      <c r="G73" s="14"/>
      <c r="H73" s="13"/>
      <c r="I73" s="16" t="str">
        <f aca="false">IF($C73&lt;&gt;"","Actual orders",IF($D73&lt;&gt;"","Est. from traffic",IF($E73&lt;&gt;"","Est. from revenue","")))</f>
        <v/>
      </c>
      <c r="J73" s="17" t="str">
        <f aca="false">IF($C73&lt;&gt;"",$C73,IF($D73&lt;&gt;"",$D73*IFERROR(INDEX(Assumptions!$C$31:$C$42,MATCH($B73,Assumptions!$B$31:$B$42,0)),Assumptions!$C$19),IF($E73&lt;&gt;"",$E73*1000000/12/IF($F73&lt;&gt;"",$F73,IFERROR(INDEX(Assumptions!$D$31:$D$42,MATCH($B73,Assumptions!$B$31:$B$42,0)),Assumptions!$C$20)),"")))</f>
        <v/>
      </c>
      <c r="K73" s="17" t="str">
        <f aca="false">IF($J73="","",$J73/Assumptions!$C$27)</f>
        <v/>
      </c>
      <c r="L73" s="18" t="str">
        <f aca="false">IF($K73="","",MAX(Assumptions!$C$9*Assumptions!$C$25/($K73*Assumptions!$C$10),0))</f>
        <v/>
      </c>
      <c r="M73" s="18" t="str">
        <f aca="false">IF($K73="","",MAX(Assumptions!$C$9*Assumptions!$C$26/($K73*Assumptions!$C$10),0))</f>
        <v/>
      </c>
      <c r="N73" s="19" t="str">
        <f aca="false">IF($K73="","",MIN(Assumptions!$C$14,52/MAX(Assumptions!$C$9*Assumptions!$C$25/($K73*Assumptions!$C$10),Assumptions!$C$13)))</f>
        <v/>
      </c>
      <c r="O73" s="20" t="str">
        <f aca="false">IF($K73="","",IF($K73&gt;=Assumptions!$C$16,"Tier 1",IF($K73&gt;=Assumptions!$C$17,"Tier 2",IF(AND($G73&lt;&gt;"",$G73&gt;=Assumptions!$C$17),"Tier 3 — micro-conversion tests only","Tier 3"))))</f>
        <v/>
      </c>
      <c r="P73" s="16" t="str">
        <f aca="false">IF(O73="","",IF(LEFT(O73,6)="Tier 1","Pursue — offer trial; 2-week tests on purchase metrics",IF(LEFT(O73,6)="Tier 2","Qualify — trial on top-traffic pages only; bold tests (≥10% lift)",IF(O73="Tier 3","Don't trial A/B — nurture or sell non-testing services","Trial only if tests are scored on CTA clicks / leads, not purchases"))))</f>
        <v/>
      </c>
    </row>
    <row r="74" customFormat="false" ht="15" hidden="false" customHeight="false" outlineLevel="0" collapsed="false">
      <c r="A74" s="13"/>
      <c r="B74" s="13"/>
      <c r="C74" s="14"/>
      <c r="D74" s="14"/>
      <c r="E74" s="15"/>
      <c r="F74" s="15"/>
      <c r="G74" s="14"/>
      <c r="H74" s="13"/>
      <c r="I74" s="16" t="str">
        <f aca="false">IF($C74&lt;&gt;"","Actual orders",IF($D74&lt;&gt;"","Est. from traffic",IF($E74&lt;&gt;"","Est. from revenue","")))</f>
        <v/>
      </c>
      <c r="J74" s="17" t="str">
        <f aca="false">IF($C74&lt;&gt;"",$C74,IF($D74&lt;&gt;"",$D74*IFERROR(INDEX(Assumptions!$C$31:$C$42,MATCH($B74,Assumptions!$B$31:$B$42,0)),Assumptions!$C$19),IF($E74&lt;&gt;"",$E74*1000000/12/IF($F74&lt;&gt;"",$F74,IFERROR(INDEX(Assumptions!$D$31:$D$42,MATCH($B74,Assumptions!$B$31:$B$42,0)),Assumptions!$C$20)),"")))</f>
        <v/>
      </c>
      <c r="K74" s="17" t="str">
        <f aca="false">IF($J74="","",$J74/Assumptions!$C$27)</f>
        <v/>
      </c>
      <c r="L74" s="18" t="str">
        <f aca="false">IF($K74="","",MAX(Assumptions!$C$9*Assumptions!$C$25/($K74*Assumptions!$C$10),0))</f>
        <v/>
      </c>
      <c r="M74" s="18" t="str">
        <f aca="false">IF($K74="","",MAX(Assumptions!$C$9*Assumptions!$C$26/($K74*Assumptions!$C$10),0))</f>
        <v/>
      </c>
      <c r="N74" s="19" t="str">
        <f aca="false">IF($K74="","",MIN(Assumptions!$C$14,52/MAX(Assumptions!$C$9*Assumptions!$C$25/($K74*Assumptions!$C$10),Assumptions!$C$13)))</f>
        <v/>
      </c>
      <c r="O74" s="20" t="str">
        <f aca="false">IF($K74="","",IF($K74&gt;=Assumptions!$C$16,"Tier 1",IF($K74&gt;=Assumptions!$C$17,"Tier 2",IF(AND($G74&lt;&gt;"",$G74&gt;=Assumptions!$C$17),"Tier 3 — micro-conversion tests only","Tier 3"))))</f>
        <v/>
      </c>
      <c r="P74" s="16" t="str">
        <f aca="false">IF(O74="","",IF(LEFT(O74,6)="Tier 1","Pursue — offer trial; 2-week tests on purchase metrics",IF(LEFT(O74,6)="Tier 2","Qualify — trial on top-traffic pages only; bold tests (≥10% lift)",IF(O74="Tier 3","Don't trial A/B — nurture or sell non-testing services","Trial only if tests are scored on CTA clicks / leads, not purchases"))))</f>
        <v/>
      </c>
    </row>
    <row r="75" customFormat="false" ht="15" hidden="false" customHeight="false" outlineLevel="0" collapsed="false">
      <c r="A75" s="13"/>
      <c r="B75" s="13"/>
      <c r="C75" s="14"/>
      <c r="D75" s="14"/>
      <c r="E75" s="15"/>
      <c r="F75" s="15"/>
      <c r="G75" s="14"/>
      <c r="H75" s="13"/>
      <c r="I75" s="16" t="str">
        <f aca="false">IF($C75&lt;&gt;"","Actual orders",IF($D75&lt;&gt;"","Est. from traffic",IF($E75&lt;&gt;"","Est. from revenue","")))</f>
        <v/>
      </c>
      <c r="J75" s="17" t="str">
        <f aca="false">IF($C75&lt;&gt;"",$C75,IF($D75&lt;&gt;"",$D75*IFERROR(INDEX(Assumptions!$C$31:$C$42,MATCH($B75,Assumptions!$B$31:$B$42,0)),Assumptions!$C$19),IF($E75&lt;&gt;"",$E75*1000000/12/IF($F75&lt;&gt;"",$F75,IFERROR(INDEX(Assumptions!$D$31:$D$42,MATCH($B75,Assumptions!$B$31:$B$42,0)),Assumptions!$C$20)),"")))</f>
        <v/>
      </c>
      <c r="K75" s="17" t="str">
        <f aca="false">IF($J75="","",$J75/Assumptions!$C$27)</f>
        <v/>
      </c>
      <c r="L75" s="18" t="str">
        <f aca="false">IF($K75="","",MAX(Assumptions!$C$9*Assumptions!$C$25/($K75*Assumptions!$C$10),0))</f>
        <v/>
      </c>
      <c r="M75" s="18" t="str">
        <f aca="false">IF($K75="","",MAX(Assumptions!$C$9*Assumptions!$C$26/($K75*Assumptions!$C$10),0))</f>
        <v/>
      </c>
      <c r="N75" s="19" t="str">
        <f aca="false">IF($K75="","",MIN(Assumptions!$C$14,52/MAX(Assumptions!$C$9*Assumptions!$C$25/($K75*Assumptions!$C$10),Assumptions!$C$13)))</f>
        <v/>
      </c>
      <c r="O75" s="20" t="str">
        <f aca="false">IF($K75="","",IF($K75&gt;=Assumptions!$C$16,"Tier 1",IF($K75&gt;=Assumptions!$C$17,"Tier 2",IF(AND($G75&lt;&gt;"",$G75&gt;=Assumptions!$C$17),"Tier 3 — micro-conversion tests only","Tier 3"))))</f>
        <v/>
      </c>
      <c r="P75" s="16" t="str">
        <f aca="false">IF(O75="","",IF(LEFT(O75,6)="Tier 1","Pursue — offer trial; 2-week tests on purchase metrics",IF(LEFT(O75,6)="Tier 2","Qualify — trial on top-traffic pages only; bold tests (≥10% lift)",IF(O75="Tier 3","Don't trial A/B — nurture or sell non-testing services","Trial only if tests are scored on CTA clicks / leads, not purchases"))))</f>
        <v/>
      </c>
    </row>
    <row r="76" customFormat="false" ht="15" hidden="false" customHeight="false" outlineLevel="0" collapsed="false">
      <c r="A76" s="13"/>
      <c r="B76" s="13"/>
      <c r="C76" s="14"/>
      <c r="D76" s="14"/>
      <c r="E76" s="15"/>
      <c r="F76" s="15"/>
      <c r="G76" s="14"/>
      <c r="H76" s="13"/>
      <c r="I76" s="16" t="str">
        <f aca="false">IF($C76&lt;&gt;"","Actual orders",IF($D76&lt;&gt;"","Est. from traffic",IF($E76&lt;&gt;"","Est. from revenue","")))</f>
        <v/>
      </c>
      <c r="J76" s="17" t="str">
        <f aca="false">IF($C76&lt;&gt;"",$C76,IF($D76&lt;&gt;"",$D76*IFERROR(INDEX(Assumptions!$C$31:$C$42,MATCH($B76,Assumptions!$B$31:$B$42,0)),Assumptions!$C$19),IF($E76&lt;&gt;"",$E76*1000000/12/IF($F76&lt;&gt;"",$F76,IFERROR(INDEX(Assumptions!$D$31:$D$42,MATCH($B76,Assumptions!$B$31:$B$42,0)),Assumptions!$C$20)),"")))</f>
        <v/>
      </c>
      <c r="K76" s="17" t="str">
        <f aca="false">IF($J76="","",$J76/Assumptions!$C$27)</f>
        <v/>
      </c>
      <c r="L76" s="18" t="str">
        <f aca="false">IF($K76="","",MAX(Assumptions!$C$9*Assumptions!$C$25/($K76*Assumptions!$C$10),0))</f>
        <v/>
      </c>
      <c r="M76" s="18" t="str">
        <f aca="false">IF($K76="","",MAX(Assumptions!$C$9*Assumptions!$C$26/($K76*Assumptions!$C$10),0))</f>
        <v/>
      </c>
      <c r="N76" s="19" t="str">
        <f aca="false">IF($K76="","",MIN(Assumptions!$C$14,52/MAX(Assumptions!$C$9*Assumptions!$C$25/($K76*Assumptions!$C$10),Assumptions!$C$13)))</f>
        <v/>
      </c>
      <c r="O76" s="20" t="str">
        <f aca="false">IF($K76="","",IF($K76&gt;=Assumptions!$C$16,"Tier 1",IF($K76&gt;=Assumptions!$C$17,"Tier 2",IF(AND($G76&lt;&gt;"",$G76&gt;=Assumptions!$C$17),"Tier 3 — micro-conversion tests only","Tier 3"))))</f>
        <v/>
      </c>
      <c r="P76" s="16" t="str">
        <f aca="false">IF(O76="","",IF(LEFT(O76,6)="Tier 1","Pursue — offer trial; 2-week tests on purchase metrics",IF(LEFT(O76,6)="Tier 2","Qualify — trial on top-traffic pages only; bold tests (≥10% lift)",IF(O76="Tier 3","Don't trial A/B — nurture or sell non-testing services","Trial only if tests are scored on CTA clicks / leads, not purchases"))))</f>
        <v/>
      </c>
    </row>
    <row r="77" customFormat="false" ht="15" hidden="false" customHeight="false" outlineLevel="0" collapsed="false">
      <c r="A77" s="13"/>
      <c r="B77" s="13"/>
      <c r="C77" s="14"/>
      <c r="D77" s="14"/>
      <c r="E77" s="15"/>
      <c r="F77" s="15"/>
      <c r="G77" s="14"/>
      <c r="H77" s="13"/>
      <c r="I77" s="16" t="str">
        <f aca="false">IF($C77&lt;&gt;"","Actual orders",IF($D77&lt;&gt;"","Est. from traffic",IF($E77&lt;&gt;"","Est. from revenue","")))</f>
        <v/>
      </c>
      <c r="J77" s="17" t="str">
        <f aca="false">IF($C77&lt;&gt;"",$C77,IF($D77&lt;&gt;"",$D77*IFERROR(INDEX(Assumptions!$C$31:$C$42,MATCH($B77,Assumptions!$B$31:$B$42,0)),Assumptions!$C$19),IF($E77&lt;&gt;"",$E77*1000000/12/IF($F77&lt;&gt;"",$F77,IFERROR(INDEX(Assumptions!$D$31:$D$42,MATCH($B77,Assumptions!$B$31:$B$42,0)),Assumptions!$C$20)),"")))</f>
        <v/>
      </c>
      <c r="K77" s="17" t="str">
        <f aca="false">IF($J77="","",$J77/Assumptions!$C$27)</f>
        <v/>
      </c>
      <c r="L77" s="18" t="str">
        <f aca="false">IF($K77="","",MAX(Assumptions!$C$9*Assumptions!$C$25/($K77*Assumptions!$C$10),0))</f>
        <v/>
      </c>
      <c r="M77" s="18" t="str">
        <f aca="false">IF($K77="","",MAX(Assumptions!$C$9*Assumptions!$C$26/($K77*Assumptions!$C$10),0))</f>
        <v/>
      </c>
      <c r="N77" s="19" t="str">
        <f aca="false">IF($K77="","",MIN(Assumptions!$C$14,52/MAX(Assumptions!$C$9*Assumptions!$C$25/($K77*Assumptions!$C$10),Assumptions!$C$13)))</f>
        <v/>
      </c>
      <c r="O77" s="20" t="str">
        <f aca="false">IF($K77="","",IF($K77&gt;=Assumptions!$C$16,"Tier 1",IF($K77&gt;=Assumptions!$C$17,"Tier 2",IF(AND($G77&lt;&gt;"",$G77&gt;=Assumptions!$C$17),"Tier 3 — micro-conversion tests only","Tier 3"))))</f>
        <v/>
      </c>
      <c r="P77" s="16" t="str">
        <f aca="false">IF(O77="","",IF(LEFT(O77,6)="Tier 1","Pursue — offer trial; 2-week tests on purchase metrics",IF(LEFT(O77,6)="Tier 2","Qualify — trial on top-traffic pages only; bold tests (≥10% lift)",IF(O77="Tier 3","Don't trial A/B — nurture or sell non-testing services","Trial only if tests are scored on CTA clicks / leads, not purchases"))))</f>
        <v/>
      </c>
    </row>
    <row r="78" customFormat="false" ht="15" hidden="false" customHeight="false" outlineLevel="0" collapsed="false">
      <c r="A78" s="13"/>
      <c r="B78" s="13"/>
      <c r="C78" s="14"/>
      <c r="D78" s="14"/>
      <c r="E78" s="15"/>
      <c r="F78" s="15"/>
      <c r="G78" s="14"/>
      <c r="H78" s="13"/>
      <c r="I78" s="16" t="str">
        <f aca="false">IF($C78&lt;&gt;"","Actual orders",IF($D78&lt;&gt;"","Est. from traffic",IF($E78&lt;&gt;"","Est. from revenue","")))</f>
        <v/>
      </c>
      <c r="J78" s="17" t="str">
        <f aca="false">IF($C78&lt;&gt;"",$C78,IF($D78&lt;&gt;"",$D78*IFERROR(INDEX(Assumptions!$C$31:$C$42,MATCH($B78,Assumptions!$B$31:$B$42,0)),Assumptions!$C$19),IF($E78&lt;&gt;"",$E78*1000000/12/IF($F78&lt;&gt;"",$F78,IFERROR(INDEX(Assumptions!$D$31:$D$42,MATCH($B78,Assumptions!$B$31:$B$42,0)),Assumptions!$C$20)),"")))</f>
        <v/>
      </c>
      <c r="K78" s="17" t="str">
        <f aca="false">IF($J78="","",$J78/Assumptions!$C$27)</f>
        <v/>
      </c>
      <c r="L78" s="18" t="str">
        <f aca="false">IF($K78="","",MAX(Assumptions!$C$9*Assumptions!$C$25/($K78*Assumptions!$C$10),0))</f>
        <v/>
      </c>
      <c r="M78" s="18" t="str">
        <f aca="false">IF($K78="","",MAX(Assumptions!$C$9*Assumptions!$C$26/($K78*Assumptions!$C$10),0))</f>
        <v/>
      </c>
      <c r="N78" s="19" t="str">
        <f aca="false">IF($K78="","",MIN(Assumptions!$C$14,52/MAX(Assumptions!$C$9*Assumptions!$C$25/($K78*Assumptions!$C$10),Assumptions!$C$13)))</f>
        <v/>
      </c>
      <c r="O78" s="20" t="str">
        <f aca="false">IF($K78="","",IF($K78&gt;=Assumptions!$C$16,"Tier 1",IF($K78&gt;=Assumptions!$C$17,"Tier 2",IF(AND($G78&lt;&gt;"",$G78&gt;=Assumptions!$C$17),"Tier 3 — micro-conversion tests only","Tier 3"))))</f>
        <v/>
      </c>
      <c r="P78" s="16" t="str">
        <f aca="false">IF(O78="","",IF(LEFT(O78,6)="Tier 1","Pursue — offer trial; 2-week tests on purchase metrics",IF(LEFT(O78,6)="Tier 2","Qualify — trial on top-traffic pages only; bold tests (≥10% lift)",IF(O78="Tier 3","Don't trial A/B — nurture or sell non-testing services","Trial only if tests are scored on CTA clicks / leads, not purchases"))))</f>
        <v/>
      </c>
    </row>
    <row r="79" customFormat="false" ht="15" hidden="false" customHeight="false" outlineLevel="0" collapsed="false">
      <c r="A79" s="13"/>
      <c r="B79" s="13"/>
      <c r="C79" s="14"/>
      <c r="D79" s="14"/>
      <c r="E79" s="15"/>
      <c r="F79" s="15"/>
      <c r="G79" s="14"/>
      <c r="H79" s="13"/>
      <c r="I79" s="16" t="str">
        <f aca="false">IF($C79&lt;&gt;"","Actual orders",IF($D79&lt;&gt;"","Est. from traffic",IF($E79&lt;&gt;"","Est. from revenue","")))</f>
        <v/>
      </c>
      <c r="J79" s="17" t="str">
        <f aca="false">IF($C79&lt;&gt;"",$C79,IF($D79&lt;&gt;"",$D79*IFERROR(INDEX(Assumptions!$C$31:$C$42,MATCH($B79,Assumptions!$B$31:$B$42,0)),Assumptions!$C$19),IF($E79&lt;&gt;"",$E79*1000000/12/IF($F79&lt;&gt;"",$F79,IFERROR(INDEX(Assumptions!$D$31:$D$42,MATCH($B79,Assumptions!$B$31:$B$42,0)),Assumptions!$C$20)),"")))</f>
        <v/>
      </c>
      <c r="K79" s="17" t="str">
        <f aca="false">IF($J79="","",$J79/Assumptions!$C$27)</f>
        <v/>
      </c>
      <c r="L79" s="18" t="str">
        <f aca="false">IF($K79="","",MAX(Assumptions!$C$9*Assumptions!$C$25/($K79*Assumptions!$C$10),0))</f>
        <v/>
      </c>
      <c r="M79" s="18" t="str">
        <f aca="false">IF($K79="","",MAX(Assumptions!$C$9*Assumptions!$C$26/($K79*Assumptions!$C$10),0))</f>
        <v/>
      </c>
      <c r="N79" s="19" t="str">
        <f aca="false">IF($K79="","",MIN(Assumptions!$C$14,52/MAX(Assumptions!$C$9*Assumptions!$C$25/($K79*Assumptions!$C$10),Assumptions!$C$13)))</f>
        <v/>
      </c>
      <c r="O79" s="20" t="str">
        <f aca="false">IF($K79="","",IF($K79&gt;=Assumptions!$C$16,"Tier 1",IF($K79&gt;=Assumptions!$C$17,"Tier 2",IF(AND($G79&lt;&gt;"",$G79&gt;=Assumptions!$C$17),"Tier 3 — micro-conversion tests only","Tier 3"))))</f>
        <v/>
      </c>
      <c r="P79" s="16" t="str">
        <f aca="false">IF(O79="","",IF(LEFT(O79,6)="Tier 1","Pursue — offer trial; 2-week tests on purchase metrics",IF(LEFT(O79,6)="Tier 2","Qualify — trial on top-traffic pages only; bold tests (≥10% lift)",IF(O79="Tier 3","Don't trial A/B — nurture or sell non-testing services","Trial only if tests are scored on CTA clicks / leads, not purchases"))))</f>
        <v/>
      </c>
    </row>
    <row r="80" customFormat="false" ht="15" hidden="false" customHeight="false" outlineLevel="0" collapsed="false">
      <c r="A80" s="13"/>
      <c r="B80" s="13"/>
      <c r="C80" s="14"/>
      <c r="D80" s="14"/>
      <c r="E80" s="15"/>
      <c r="F80" s="15"/>
      <c r="G80" s="14"/>
      <c r="H80" s="13"/>
      <c r="I80" s="16" t="str">
        <f aca="false">IF($C80&lt;&gt;"","Actual orders",IF($D80&lt;&gt;"","Est. from traffic",IF($E80&lt;&gt;"","Est. from revenue","")))</f>
        <v/>
      </c>
      <c r="J80" s="17" t="str">
        <f aca="false">IF($C80&lt;&gt;"",$C80,IF($D80&lt;&gt;"",$D80*IFERROR(INDEX(Assumptions!$C$31:$C$42,MATCH($B80,Assumptions!$B$31:$B$42,0)),Assumptions!$C$19),IF($E80&lt;&gt;"",$E80*1000000/12/IF($F80&lt;&gt;"",$F80,IFERROR(INDEX(Assumptions!$D$31:$D$42,MATCH($B80,Assumptions!$B$31:$B$42,0)),Assumptions!$C$20)),"")))</f>
        <v/>
      </c>
      <c r="K80" s="17" t="str">
        <f aca="false">IF($J80="","",$J80/Assumptions!$C$27)</f>
        <v/>
      </c>
      <c r="L80" s="18" t="str">
        <f aca="false">IF($K80="","",MAX(Assumptions!$C$9*Assumptions!$C$25/($K80*Assumptions!$C$10),0))</f>
        <v/>
      </c>
      <c r="M80" s="18" t="str">
        <f aca="false">IF($K80="","",MAX(Assumptions!$C$9*Assumptions!$C$26/($K80*Assumptions!$C$10),0))</f>
        <v/>
      </c>
      <c r="N80" s="19" t="str">
        <f aca="false">IF($K80="","",MIN(Assumptions!$C$14,52/MAX(Assumptions!$C$9*Assumptions!$C$25/($K80*Assumptions!$C$10),Assumptions!$C$13)))</f>
        <v/>
      </c>
      <c r="O80" s="20" t="str">
        <f aca="false">IF($K80="","",IF($K80&gt;=Assumptions!$C$16,"Tier 1",IF($K80&gt;=Assumptions!$C$17,"Tier 2",IF(AND($G80&lt;&gt;"",$G80&gt;=Assumptions!$C$17),"Tier 3 — micro-conversion tests only","Tier 3"))))</f>
        <v/>
      </c>
      <c r="P80" s="16" t="str">
        <f aca="false">IF(O80="","",IF(LEFT(O80,6)="Tier 1","Pursue — offer trial; 2-week tests on purchase metrics",IF(LEFT(O80,6)="Tier 2","Qualify — trial on top-traffic pages only; bold tests (≥10% lift)",IF(O80="Tier 3","Don't trial A/B — nurture or sell non-testing services","Trial only if tests are scored on CTA clicks / leads, not purchases"))))</f>
        <v/>
      </c>
    </row>
    <row r="81" customFormat="false" ht="15" hidden="false" customHeight="false" outlineLevel="0" collapsed="false">
      <c r="A81" s="13"/>
      <c r="B81" s="13"/>
      <c r="C81" s="14"/>
      <c r="D81" s="14"/>
      <c r="E81" s="15"/>
      <c r="F81" s="15"/>
      <c r="G81" s="14"/>
      <c r="H81" s="13"/>
      <c r="I81" s="16" t="str">
        <f aca="false">IF($C81&lt;&gt;"","Actual orders",IF($D81&lt;&gt;"","Est. from traffic",IF($E81&lt;&gt;"","Est. from revenue","")))</f>
        <v/>
      </c>
      <c r="J81" s="17" t="str">
        <f aca="false">IF($C81&lt;&gt;"",$C81,IF($D81&lt;&gt;"",$D81*IFERROR(INDEX(Assumptions!$C$31:$C$42,MATCH($B81,Assumptions!$B$31:$B$42,0)),Assumptions!$C$19),IF($E81&lt;&gt;"",$E81*1000000/12/IF($F81&lt;&gt;"",$F81,IFERROR(INDEX(Assumptions!$D$31:$D$42,MATCH($B81,Assumptions!$B$31:$B$42,0)),Assumptions!$C$20)),"")))</f>
        <v/>
      </c>
      <c r="K81" s="17" t="str">
        <f aca="false">IF($J81="","",$J81/Assumptions!$C$27)</f>
        <v/>
      </c>
      <c r="L81" s="18" t="str">
        <f aca="false">IF($K81="","",MAX(Assumptions!$C$9*Assumptions!$C$25/($K81*Assumptions!$C$10),0))</f>
        <v/>
      </c>
      <c r="M81" s="18" t="str">
        <f aca="false">IF($K81="","",MAX(Assumptions!$C$9*Assumptions!$C$26/($K81*Assumptions!$C$10),0))</f>
        <v/>
      </c>
      <c r="N81" s="19" t="str">
        <f aca="false">IF($K81="","",MIN(Assumptions!$C$14,52/MAX(Assumptions!$C$9*Assumptions!$C$25/($K81*Assumptions!$C$10),Assumptions!$C$13)))</f>
        <v/>
      </c>
      <c r="O81" s="20" t="str">
        <f aca="false">IF($K81="","",IF($K81&gt;=Assumptions!$C$16,"Tier 1",IF($K81&gt;=Assumptions!$C$17,"Tier 2",IF(AND($G81&lt;&gt;"",$G81&gt;=Assumptions!$C$17),"Tier 3 — micro-conversion tests only","Tier 3"))))</f>
        <v/>
      </c>
      <c r="P81" s="16" t="str">
        <f aca="false">IF(O81="","",IF(LEFT(O81,6)="Tier 1","Pursue — offer trial; 2-week tests on purchase metrics",IF(LEFT(O81,6)="Tier 2","Qualify — trial on top-traffic pages only; bold tests (≥10% lift)",IF(O81="Tier 3","Don't trial A/B — nurture or sell non-testing services","Trial only if tests are scored on CTA clicks / leads, not purchases"))))</f>
        <v/>
      </c>
    </row>
    <row r="82" customFormat="false" ht="15" hidden="false" customHeight="false" outlineLevel="0" collapsed="false">
      <c r="A82" s="13"/>
      <c r="B82" s="13"/>
      <c r="C82" s="14"/>
      <c r="D82" s="14"/>
      <c r="E82" s="15"/>
      <c r="F82" s="15"/>
      <c r="G82" s="14"/>
      <c r="H82" s="13"/>
      <c r="I82" s="16" t="str">
        <f aca="false">IF($C82&lt;&gt;"","Actual orders",IF($D82&lt;&gt;"","Est. from traffic",IF($E82&lt;&gt;"","Est. from revenue","")))</f>
        <v/>
      </c>
      <c r="J82" s="17" t="str">
        <f aca="false">IF($C82&lt;&gt;"",$C82,IF($D82&lt;&gt;"",$D82*IFERROR(INDEX(Assumptions!$C$31:$C$42,MATCH($B82,Assumptions!$B$31:$B$42,0)),Assumptions!$C$19),IF($E82&lt;&gt;"",$E82*1000000/12/IF($F82&lt;&gt;"",$F82,IFERROR(INDEX(Assumptions!$D$31:$D$42,MATCH($B82,Assumptions!$B$31:$B$42,0)),Assumptions!$C$20)),"")))</f>
        <v/>
      </c>
      <c r="K82" s="17" t="str">
        <f aca="false">IF($J82="","",$J82/Assumptions!$C$27)</f>
        <v/>
      </c>
      <c r="L82" s="18" t="str">
        <f aca="false">IF($K82="","",MAX(Assumptions!$C$9*Assumptions!$C$25/($K82*Assumptions!$C$10),0))</f>
        <v/>
      </c>
      <c r="M82" s="18" t="str">
        <f aca="false">IF($K82="","",MAX(Assumptions!$C$9*Assumptions!$C$26/($K82*Assumptions!$C$10),0))</f>
        <v/>
      </c>
      <c r="N82" s="19" t="str">
        <f aca="false">IF($K82="","",MIN(Assumptions!$C$14,52/MAX(Assumptions!$C$9*Assumptions!$C$25/($K82*Assumptions!$C$10),Assumptions!$C$13)))</f>
        <v/>
      </c>
      <c r="O82" s="20" t="str">
        <f aca="false">IF($K82="","",IF($K82&gt;=Assumptions!$C$16,"Tier 1",IF($K82&gt;=Assumptions!$C$17,"Tier 2",IF(AND($G82&lt;&gt;"",$G82&gt;=Assumptions!$C$17),"Tier 3 — micro-conversion tests only","Tier 3"))))</f>
        <v/>
      </c>
      <c r="P82" s="16" t="str">
        <f aca="false">IF(O82="","",IF(LEFT(O82,6)="Tier 1","Pursue — offer trial; 2-week tests on purchase metrics",IF(LEFT(O82,6)="Tier 2","Qualify — trial on top-traffic pages only; bold tests (≥10% lift)",IF(O82="Tier 3","Don't trial A/B — nurture or sell non-testing services","Trial only if tests are scored on CTA clicks / leads, not purchases"))))</f>
        <v/>
      </c>
    </row>
    <row r="83" customFormat="false" ht="15" hidden="false" customHeight="false" outlineLevel="0" collapsed="false">
      <c r="A83" s="13"/>
      <c r="B83" s="13"/>
      <c r="C83" s="14"/>
      <c r="D83" s="14"/>
      <c r="E83" s="15"/>
      <c r="F83" s="15"/>
      <c r="G83" s="14"/>
      <c r="H83" s="13"/>
      <c r="I83" s="16" t="str">
        <f aca="false">IF($C83&lt;&gt;"","Actual orders",IF($D83&lt;&gt;"","Est. from traffic",IF($E83&lt;&gt;"","Est. from revenue","")))</f>
        <v/>
      </c>
      <c r="J83" s="17" t="str">
        <f aca="false">IF($C83&lt;&gt;"",$C83,IF($D83&lt;&gt;"",$D83*IFERROR(INDEX(Assumptions!$C$31:$C$42,MATCH($B83,Assumptions!$B$31:$B$42,0)),Assumptions!$C$19),IF($E83&lt;&gt;"",$E83*1000000/12/IF($F83&lt;&gt;"",$F83,IFERROR(INDEX(Assumptions!$D$31:$D$42,MATCH($B83,Assumptions!$B$31:$B$42,0)),Assumptions!$C$20)),"")))</f>
        <v/>
      </c>
      <c r="K83" s="17" t="str">
        <f aca="false">IF($J83="","",$J83/Assumptions!$C$27)</f>
        <v/>
      </c>
      <c r="L83" s="18" t="str">
        <f aca="false">IF($K83="","",MAX(Assumptions!$C$9*Assumptions!$C$25/($K83*Assumptions!$C$10),0))</f>
        <v/>
      </c>
      <c r="M83" s="18" t="str">
        <f aca="false">IF($K83="","",MAX(Assumptions!$C$9*Assumptions!$C$26/($K83*Assumptions!$C$10),0))</f>
        <v/>
      </c>
      <c r="N83" s="19" t="str">
        <f aca="false">IF($K83="","",MIN(Assumptions!$C$14,52/MAX(Assumptions!$C$9*Assumptions!$C$25/($K83*Assumptions!$C$10),Assumptions!$C$13)))</f>
        <v/>
      </c>
      <c r="O83" s="20" t="str">
        <f aca="false">IF($K83="","",IF($K83&gt;=Assumptions!$C$16,"Tier 1",IF($K83&gt;=Assumptions!$C$17,"Tier 2",IF(AND($G83&lt;&gt;"",$G83&gt;=Assumptions!$C$17),"Tier 3 — micro-conversion tests only","Tier 3"))))</f>
        <v/>
      </c>
      <c r="P83" s="16" t="str">
        <f aca="false">IF(O83="","",IF(LEFT(O83,6)="Tier 1","Pursue — offer trial; 2-week tests on purchase metrics",IF(LEFT(O83,6)="Tier 2","Qualify — trial on top-traffic pages only; bold tests (≥10% lift)",IF(O83="Tier 3","Don't trial A/B — nurture or sell non-testing services","Trial only if tests are scored on CTA clicks / leads, not purchases"))))</f>
        <v/>
      </c>
    </row>
    <row r="84" customFormat="false" ht="15" hidden="false" customHeight="false" outlineLevel="0" collapsed="false">
      <c r="A84" s="13"/>
      <c r="B84" s="13"/>
      <c r="C84" s="14"/>
      <c r="D84" s="14"/>
      <c r="E84" s="15"/>
      <c r="F84" s="15"/>
      <c r="G84" s="14"/>
      <c r="H84" s="13"/>
      <c r="I84" s="16" t="str">
        <f aca="false">IF($C84&lt;&gt;"","Actual orders",IF($D84&lt;&gt;"","Est. from traffic",IF($E84&lt;&gt;"","Est. from revenue","")))</f>
        <v/>
      </c>
      <c r="J84" s="17" t="str">
        <f aca="false">IF($C84&lt;&gt;"",$C84,IF($D84&lt;&gt;"",$D84*IFERROR(INDEX(Assumptions!$C$31:$C$42,MATCH($B84,Assumptions!$B$31:$B$42,0)),Assumptions!$C$19),IF($E84&lt;&gt;"",$E84*1000000/12/IF($F84&lt;&gt;"",$F84,IFERROR(INDEX(Assumptions!$D$31:$D$42,MATCH($B84,Assumptions!$B$31:$B$42,0)),Assumptions!$C$20)),"")))</f>
        <v/>
      </c>
      <c r="K84" s="17" t="str">
        <f aca="false">IF($J84="","",$J84/Assumptions!$C$27)</f>
        <v/>
      </c>
      <c r="L84" s="18" t="str">
        <f aca="false">IF($K84="","",MAX(Assumptions!$C$9*Assumptions!$C$25/($K84*Assumptions!$C$10),0))</f>
        <v/>
      </c>
      <c r="M84" s="18" t="str">
        <f aca="false">IF($K84="","",MAX(Assumptions!$C$9*Assumptions!$C$26/($K84*Assumptions!$C$10),0))</f>
        <v/>
      </c>
      <c r="N84" s="19" t="str">
        <f aca="false">IF($K84="","",MIN(Assumptions!$C$14,52/MAX(Assumptions!$C$9*Assumptions!$C$25/($K84*Assumptions!$C$10),Assumptions!$C$13)))</f>
        <v/>
      </c>
      <c r="O84" s="20" t="str">
        <f aca="false">IF($K84="","",IF($K84&gt;=Assumptions!$C$16,"Tier 1",IF($K84&gt;=Assumptions!$C$17,"Tier 2",IF(AND($G84&lt;&gt;"",$G84&gt;=Assumptions!$C$17),"Tier 3 — micro-conversion tests only","Tier 3"))))</f>
        <v/>
      </c>
      <c r="P84" s="16" t="str">
        <f aca="false">IF(O84="","",IF(LEFT(O84,6)="Tier 1","Pursue — offer trial; 2-week tests on purchase metrics",IF(LEFT(O84,6)="Tier 2","Qualify — trial on top-traffic pages only; bold tests (≥10% lift)",IF(O84="Tier 3","Don't trial A/B — nurture or sell non-testing services","Trial only if tests are scored on CTA clicks / leads, not purchases"))))</f>
        <v/>
      </c>
    </row>
    <row r="85" customFormat="false" ht="15" hidden="false" customHeight="false" outlineLevel="0" collapsed="false">
      <c r="A85" s="13"/>
      <c r="B85" s="13"/>
      <c r="C85" s="14"/>
      <c r="D85" s="14"/>
      <c r="E85" s="15"/>
      <c r="F85" s="15"/>
      <c r="G85" s="14"/>
      <c r="H85" s="13"/>
      <c r="I85" s="16" t="str">
        <f aca="false">IF($C85&lt;&gt;"","Actual orders",IF($D85&lt;&gt;"","Est. from traffic",IF($E85&lt;&gt;"","Est. from revenue","")))</f>
        <v/>
      </c>
      <c r="J85" s="17" t="str">
        <f aca="false">IF($C85&lt;&gt;"",$C85,IF($D85&lt;&gt;"",$D85*IFERROR(INDEX(Assumptions!$C$31:$C$42,MATCH($B85,Assumptions!$B$31:$B$42,0)),Assumptions!$C$19),IF($E85&lt;&gt;"",$E85*1000000/12/IF($F85&lt;&gt;"",$F85,IFERROR(INDEX(Assumptions!$D$31:$D$42,MATCH($B85,Assumptions!$B$31:$B$42,0)),Assumptions!$C$20)),"")))</f>
        <v/>
      </c>
      <c r="K85" s="17" t="str">
        <f aca="false">IF($J85="","",$J85/Assumptions!$C$27)</f>
        <v/>
      </c>
      <c r="L85" s="18" t="str">
        <f aca="false">IF($K85="","",MAX(Assumptions!$C$9*Assumptions!$C$25/($K85*Assumptions!$C$10),0))</f>
        <v/>
      </c>
      <c r="M85" s="18" t="str">
        <f aca="false">IF($K85="","",MAX(Assumptions!$C$9*Assumptions!$C$26/($K85*Assumptions!$C$10),0))</f>
        <v/>
      </c>
      <c r="N85" s="19" t="str">
        <f aca="false">IF($K85="","",MIN(Assumptions!$C$14,52/MAX(Assumptions!$C$9*Assumptions!$C$25/($K85*Assumptions!$C$10),Assumptions!$C$13)))</f>
        <v/>
      </c>
      <c r="O85" s="20" t="str">
        <f aca="false">IF($K85="","",IF($K85&gt;=Assumptions!$C$16,"Tier 1",IF($K85&gt;=Assumptions!$C$17,"Tier 2",IF(AND($G85&lt;&gt;"",$G85&gt;=Assumptions!$C$17),"Tier 3 — micro-conversion tests only","Tier 3"))))</f>
        <v/>
      </c>
      <c r="P85" s="16" t="str">
        <f aca="false">IF(O85="","",IF(LEFT(O85,6)="Tier 1","Pursue — offer trial; 2-week tests on purchase metrics",IF(LEFT(O85,6)="Tier 2","Qualify — trial on top-traffic pages only; bold tests (≥10% lift)",IF(O85="Tier 3","Don't trial A/B — nurture or sell non-testing services","Trial only if tests are scored on CTA clicks / leads, not purchases"))))</f>
        <v/>
      </c>
    </row>
    <row r="86" customFormat="false" ht="15" hidden="false" customHeight="false" outlineLevel="0" collapsed="false">
      <c r="A86" s="13"/>
      <c r="B86" s="13"/>
      <c r="C86" s="14"/>
      <c r="D86" s="14"/>
      <c r="E86" s="15"/>
      <c r="F86" s="15"/>
      <c r="G86" s="14"/>
      <c r="H86" s="13"/>
      <c r="I86" s="16" t="str">
        <f aca="false">IF($C86&lt;&gt;"","Actual orders",IF($D86&lt;&gt;"","Est. from traffic",IF($E86&lt;&gt;"","Est. from revenue","")))</f>
        <v/>
      </c>
      <c r="J86" s="17" t="str">
        <f aca="false">IF($C86&lt;&gt;"",$C86,IF($D86&lt;&gt;"",$D86*IFERROR(INDEX(Assumptions!$C$31:$C$42,MATCH($B86,Assumptions!$B$31:$B$42,0)),Assumptions!$C$19),IF($E86&lt;&gt;"",$E86*1000000/12/IF($F86&lt;&gt;"",$F86,IFERROR(INDEX(Assumptions!$D$31:$D$42,MATCH($B86,Assumptions!$B$31:$B$42,0)),Assumptions!$C$20)),"")))</f>
        <v/>
      </c>
      <c r="K86" s="17" t="str">
        <f aca="false">IF($J86="","",$J86/Assumptions!$C$27)</f>
        <v/>
      </c>
      <c r="L86" s="18" t="str">
        <f aca="false">IF($K86="","",MAX(Assumptions!$C$9*Assumptions!$C$25/($K86*Assumptions!$C$10),0))</f>
        <v/>
      </c>
      <c r="M86" s="18" t="str">
        <f aca="false">IF($K86="","",MAX(Assumptions!$C$9*Assumptions!$C$26/($K86*Assumptions!$C$10),0))</f>
        <v/>
      </c>
      <c r="N86" s="19" t="str">
        <f aca="false">IF($K86="","",MIN(Assumptions!$C$14,52/MAX(Assumptions!$C$9*Assumptions!$C$25/($K86*Assumptions!$C$10),Assumptions!$C$13)))</f>
        <v/>
      </c>
      <c r="O86" s="20" t="str">
        <f aca="false">IF($K86="","",IF($K86&gt;=Assumptions!$C$16,"Tier 1",IF($K86&gt;=Assumptions!$C$17,"Tier 2",IF(AND($G86&lt;&gt;"",$G86&gt;=Assumptions!$C$17),"Tier 3 — micro-conversion tests only","Tier 3"))))</f>
        <v/>
      </c>
      <c r="P86" s="16" t="str">
        <f aca="false">IF(O86="","",IF(LEFT(O86,6)="Tier 1","Pursue — offer trial; 2-week tests on purchase metrics",IF(LEFT(O86,6)="Tier 2","Qualify — trial on top-traffic pages only; bold tests (≥10% lift)",IF(O86="Tier 3","Don't trial A/B — nurture or sell non-testing services","Trial only if tests are scored on CTA clicks / leads, not purchases"))))</f>
        <v/>
      </c>
    </row>
    <row r="87" customFormat="false" ht="15" hidden="false" customHeight="false" outlineLevel="0" collapsed="false">
      <c r="A87" s="13"/>
      <c r="B87" s="13"/>
      <c r="C87" s="14"/>
      <c r="D87" s="14"/>
      <c r="E87" s="15"/>
      <c r="F87" s="15"/>
      <c r="G87" s="14"/>
      <c r="H87" s="13"/>
      <c r="I87" s="16" t="str">
        <f aca="false">IF($C87&lt;&gt;"","Actual orders",IF($D87&lt;&gt;"","Est. from traffic",IF($E87&lt;&gt;"","Est. from revenue","")))</f>
        <v/>
      </c>
      <c r="J87" s="17" t="str">
        <f aca="false">IF($C87&lt;&gt;"",$C87,IF($D87&lt;&gt;"",$D87*IFERROR(INDEX(Assumptions!$C$31:$C$42,MATCH($B87,Assumptions!$B$31:$B$42,0)),Assumptions!$C$19),IF($E87&lt;&gt;"",$E87*1000000/12/IF($F87&lt;&gt;"",$F87,IFERROR(INDEX(Assumptions!$D$31:$D$42,MATCH($B87,Assumptions!$B$31:$B$42,0)),Assumptions!$C$20)),"")))</f>
        <v/>
      </c>
      <c r="K87" s="17" t="str">
        <f aca="false">IF($J87="","",$J87/Assumptions!$C$27)</f>
        <v/>
      </c>
      <c r="L87" s="18" t="str">
        <f aca="false">IF($K87="","",MAX(Assumptions!$C$9*Assumptions!$C$25/($K87*Assumptions!$C$10),0))</f>
        <v/>
      </c>
      <c r="M87" s="18" t="str">
        <f aca="false">IF($K87="","",MAX(Assumptions!$C$9*Assumptions!$C$26/($K87*Assumptions!$C$10),0))</f>
        <v/>
      </c>
      <c r="N87" s="19" t="str">
        <f aca="false">IF($K87="","",MIN(Assumptions!$C$14,52/MAX(Assumptions!$C$9*Assumptions!$C$25/($K87*Assumptions!$C$10),Assumptions!$C$13)))</f>
        <v/>
      </c>
      <c r="O87" s="20" t="str">
        <f aca="false">IF($K87="","",IF($K87&gt;=Assumptions!$C$16,"Tier 1",IF($K87&gt;=Assumptions!$C$17,"Tier 2",IF(AND($G87&lt;&gt;"",$G87&gt;=Assumptions!$C$17),"Tier 3 — micro-conversion tests only","Tier 3"))))</f>
        <v/>
      </c>
      <c r="P87" s="16" t="str">
        <f aca="false">IF(O87="","",IF(LEFT(O87,6)="Tier 1","Pursue — offer trial; 2-week tests on purchase metrics",IF(LEFT(O87,6)="Tier 2","Qualify — trial on top-traffic pages only; bold tests (≥10% lift)",IF(O87="Tier 3","Don't trial A/B — nurture or sell non-testing services","Trial only if tests are scored on CTA clicks / leads, not purchases"))))</f>
        <v/>
      </c>
    </row>
    <row r="88" customFormat="false" ht="15" hidden="false" customHeight="false" outlineLevel="0" collapsed="false">
      <c r="A88" s="13"/>
      <c r="B88" s="13"/>
      <c r="C88" s="14"/>
      <c r="D88" s="14"/>
      <c r="E88" s="15"/>
      <c r="F88" s="15"/>
      <c r="G88" s="14"/>
      <c r="H88" s="13"/>
      <c r="I88" s="16" t="str">
        <f aca="false">IF($C88&lt;&gt;"","Actual orders",IF($D88&lt;&gt;"","Est. from traffic",IF($E88&lt;&gt;"","Est. from revenue","")))</f>
        <v/>
      </c>
      <c r="J88" s="17" t="str">
        <f aca="false">IF($C88&lt;&gt;"",$C88,IF($D88&lt;&gt;"",$D88*IFERROR(INDEX(Assumptions!$C$31:$C$42,MATCH($B88,Assumptions!$B$31:$B$42,0)),Assumptions!$C$19),IF($E88&lt;&gt;"",$E88*1000000/12/IF($F88&lt;&gt;"",$F88,IFERROR(INDEX(Assumptions!$D$31:$D$42,MATCH($B88,Assumptions!$B$31:$B$42,0)),Assumptions!$C$20)),"")))</f>
        <v/>
      </c>
      <c r="K88" s="17" t="str">
        <f aca="false">IF($J88="","",$J88/Assumptions!$C$27)</f>
        <v/>
      </c>
      <c r="L88" s="18" t="str">
        <f aca="false">IF($K88="","",MAX(Assumptions!$C$9*Assumptions!$C$25/($K88*Assumptions!$C$10),0))</f>
        <v/>
      </c>
      <c r="M88" s="18" t="str">
        <f aca="false">IF($K88="","",MAX(Assumptions!$C$9*Assumptions!$C$26/($K88*Assumptions!$C$10),0))</f>
        <v/>
      </c>
      <c r="N88" s="19" t="str">
        <f aca="false">IF($K88="","",MIN(Assumptions!$C$14,52/MAX(Assumptions!$C$9*Assumptions!$C$25/($K88*Assumptions!$C$10),Assumptions!$C$13)))</f>
        <v/>
      </c>
      <c r="O88" s="20" t="str">
        <f aca="false">IF($K88="","",IF($K88&gt;=Assumptions!$C$16,"Tier 1",IF($K88&gt;=Assumptions!$C$17,"Tier 2",IF(AND($G88&lt;&gt;"",$G88&gt;=Assumptions!$C$17),"Tier 3 — micro-conversion tests only","Tier 3"))))</f>
        <v/>
      </c>
      <c r="P88" s="16" t="str">
        <f aca="false">IF(O88="","",IF(LEFT(O88,6)="Tier 1","Pursue — offer trial; 2-week tests on purchase metrics",IF(LEFT(O88,6)="Tier 2","Qualify — trial on top-traffic pages only; bold tests (≥10% lift)",IF(O88="Tier 3","Don't trial A/B — nurture or sell non-testing services","Trial only if tests are scored on CTA clicks / leads, not purchases"))))</f>
        <v/>
      </c>
    </row>
    <row r="89" customFormat="false" ht="15" hidden="false" customHeight="false" outlineLevel="0" collapsed="false">
      <c r="A89" s="13"/>
      <c r="B89" s="13"/>
      <c r="C89" s="14"/>
      <c r="D89" s="14"/>
      <c r="E89" s="15"/>
      <c r="F89" s="15"/>
      <c r="G89" s="14"/>
      <c r="H89" s="13"/>
      <c r="I89" s="16" t="str">
        <f aca="false">IF($C89&lt;&gt;"","Actual orders",IF($D89&lt;&gt;"","Est. from traffic",IF($E89&lt;&gt;"","Est. from revenue","")))</f>
        <v/>
      </c>
      <c r="J89" s="17" t="str">
        <f aca="false">IF($C89&lt;&gt;"",$C89,IF($D89&lt;&gt;"",$D89*IFERROR(INDEX(Assumptions!$C$31:$C$42,MATCH($B89,Assumptions!$B$31:$B$42,0)),Assumptions!$C$19),IF($E89&lt;&gt;"",$E89*1000000/12/IF($F89&lt;&gt;"",$F89,IFERROR(INDEX(Assumptions!$D$31:$D$42,MATCH($B89,Assumptions!$B$31:$B$42,0)),Assumptions!$C$20)),"")))</f>
        <v/>
      </c>
      <c r="K89" s="17" t="str">
        <f aca="false">IF($J89="","",$J89/Assumptions!$C$27)</f>
        <v/>
      </c>
      <c r="L89" s="18" t="str">
        <f aca="false">IF($K89="","",MAX(Assumptions!$C$9*Assumptions!$C$25/($K89*Assumptions!$C$10),0))</f>
        <v/>
      </c>
      <c r="M89" s="18" t="str">
        <f aca="false">IF($K89="","",MAX(Assumptions!$C$9*Assumptions!$C$26/($K89*Assumptions!$C$10),0))</f>
        <v/>
      </c>
      <c r="N89" s="19" t="str">
        <f aca="false">IF($K89="","",MIN(Assumptions!$C$14,52/MAX(Assumptions!$C$9*Assumptions!$C$25/($K89*Assumptions!$C$10),Assumptions!$C$13)))</f>
        <v/>
      </c>
      <c r="O89" s="20" t="str">
        <f aca="false">IF($K89="","",IF($K89&gt;=Assumptions!$C$16,"Tier 1",IF($K89&gt;=Assumptions!$C$17,"Tier 2",IF(AND($G89&lt;&gt;"",$G89&gt;=Assumptions!$C$17),"Tier 3 — micro-conversion tests only","Tier 3"))))</f>
        <v/>
      </c>
      <c r="P89" s="16" t="str">
        <f aca="false">IF(O89="","",IF(LEFT(O89,6)="Tier 1","Pursue — offer trial; 2-week tests on purchase metrics",IF(LEFT(O89,6)="Tier 2","Qualify — trial on top-traffic pages only; bold tests (≥10% lift)",IF(O89="Tier 3","Don't trial A/B — nurture or sell non-testing services","Trial only if tests are scored on CTA clicks / leads, not purchases"))))</f>
        <v/>
      </c>
    </row>
    <row r="90" customFormat="false" ht="15" hidden="false" customHeight="false" outlineLevel="0" collapsed="false">
      <c r="A90" s="13"/>
      <c r="B90" s="13"/>
      <c r="C90" s="14"/>
      <c r="D90" s="14"/>
      <c r="E90" s="15"/>
      <c r="F90" s="15"/>
      <c r="G90" s="14"/>
      <c r="H90" s="13"/>
      <c r="I90" s="16" t="str">
        <f aca="false">IF($C90&lt;&gt;"","Actual orders",IF($D90&lt;&gt;"","Est. from traffic",IF($E90&lt;&gt;"","Est. from revenue","")))</f>
        <v/>
      </c>
      <c r="J90" s="17" t="str">
        <f aca="false">IF($C90&lt;&gt;"",$C90,IF($D90&lt;&gt;"",$D90*IFERROR(INDEX(Assumptions!$C$31:$C$42,MATCH($B90,Assumptions!$B$31:$B$42,0)),Assumptions!$C$19),IF($E90&lt;&gt;"",$E90*1000000/12/IF($F90&lt;&gt;"",$F90,IFERROR(INDEX(Assumptions!$D$31:$D$42,MATCH($B90,Assumptions!$B$31:$B$42,0)),Assumptions!$C$20)),"")))</f>
        <v/>
      </c>
      <c r="K90" s="17" t="str">
        <f aca="false">IF($J90="","",$J90/Assumptions!$C$27)</f>
        <v/>
      </c>
      <c r="L90" s="18" t="str">
        <f aca="false">IF($K90="","",MAX(Assumptions!$C$9*Assumptions!$C$25/($K90*Assumptions!$C$10),0))</f>
        <v/>
      </c>
      <c r="M90" s="18" t="str">
        <f aca="false">IF($K90="","",MAX(Assumptions!$C$9*Assumptions!$C$26/($K90*Assumptions!$C$10),0))</f>
        <v/>
      </c>
      <c r="N90" s="19" t="str">
        <f aca="false">IF($K90="","",MIN(Assumptions!$C$14,52/MAX(Assumptions!$C$9*Assumptions!$C$25/($K90*Assumptions!$C$10),Assumptions!$C$13)))</f>
        <v/>
      </c>
      <c r="O90" s="20" t="str">
        <f aca="false">IF($K90="","",IF($K90&gt;=Assumptions!$C$16,"Tier 1",IF($K90&gt;=Assumptions!$C$17,"Tier 2",IF(AND($G90&lt;&gt;"",$G90&gt;=Assumptions!$C$17),"Tier 3 — micro-conversion tests only","Tier 3"))))</f>
        <v/>
      </c>
      <c r="P90" s="16" t="str">
        <f aca="false">IF(O90="","",IF(LEFT(O90,6)="Tier 1","Pursue — offer trial; 2-week tests on purchase metrics",IF(LEFT(O90,6)="Tier 2","Qualify — trial on top-traffic pages only; bold tests (≥10% lift)",IF(O90="Tier 3","Don't trial A/B — nurture or sell non-testing services","Trial only if tests are scored on CTA clicks / leads, not purchases"))))</f>
        <v/>
      </c>
    </row>
    <row r="91" customFormat="false" ht="15" hidden="false" customHeight="false" outlineLevel="0" collapsed="false">
      <c r="A91" s="13"/>
      <c r="B91" s="13"/>
      <c r="C91" s="14"/>
      <c r="D91" s="14"/>
      <c r="E91" s="15"/>
      <c r="F91" s="15"/>
      <c r="G91" s="14"/>
      <c r="H91" s="13"/>
      <c r="I91" s="16" t="str">
        <f aca="false">IF($C91&lt;&gt;"","Actual orders",IF($D91&lt;&gt;"","Est. from traffic",IF($E91&lt;&gt;"","Est. from revenue","")))</f>
        <v/>
      </c>
      <c r="J91" s="17" t="str">
        <f aca="false">IF($C91&lt;&gt;"",$C91,IF($D91&lt;&gt;"",$D91*IFERROR(INDEX(Assumptions!$C$31:$C$42,MATCH($B91,Assumptions!$B$31:$B$42,0)),Assumptions!$C$19),IF($E91&lt;&gt;"",$E91*1000000/12/IF($F91&lt;&gt;"",$F91,IFERROR(INDEX(Assumptions!$D$31:$D$42,MATCH($B91,Assumptions!$B$31:$B$42,0)),Assumptions!$C$20)),"")))</f>
        <v/>
      </c>
      <c r="K91" s="17" t="str">
        <f aca="false">IF($J91="","",$J91/Assumptions!$C$27)</f>
        <v/>
      </c>
      <c r="L91" s="18" t="str">
        <f aca="false">IF($K91="","",MAX(Assumptions!$C$9*Assumptions!$C$25/($K91*Assumptions!$C$10),0))</f>
        <v/>
      </c>
      <c r="M91" s="18" t="str">
        <f aca="false">IF($K91="","",MAX(Assumptions!$C$9*Assumptions!$C$26/($K91*Assumptions!$C$10),0))</f>
        <v/>
      </c>
      <c r="N91" s="19" t="str">
        <f aca="false">IF($K91="","",MIN(Assumptions!$C$14,52/MAX(Assumptions!$C$9*Assumptions!$C$25/($K91*Assumptions!$C$10),Assumptions!$C$13)))</f>
        <v/>
      </c>
      <c r="O91" s="20" t="str">
        <f aca="false">IF($K91="","",IF($K91&gt;=Assumptions!$C$16,"Tier 1",IF($K91&gt;=Assumptions!$C$17,"Tier 2",IF(AND($G91&lt;&gt;"",$G91&gt;=Assumptions!$C$17),"Tier 3 — micro-conversion tests only","Tier 3"))))</f>
        <v/>
      </c>
      <c r="P91" s="16" t="str">
        <f aca="false">IF(O91="","",IF(LEFT(O91,6)="Tier 1","Pursue — offer trial; 2-week tests on purchase metrics",IF(LEFT(O91,6)="Tier 2","Qualify — trial on top-traffic pages only; bold tests (≥10% lift)",IF(O91="Tier 3","Don't trial A/B — nurture or sell non-testing services","Trial only if tests are scored on CTA clicks / leads, not purchases"))))</f>
        <v/>
      </c>
    </row>
    <row r="92" customFormat="false" ht="15" hidden="false" customHeight="false" outlineLevel="0" collapsed="false">
      <c r="A92" s="13"/>
      <c r="B92" s="13"/>
      <c r="C92" s="14"/>
      <c r="D92" s="14"/>
      <c r="E92" s="15"/>
      <c r="F92" s="15"/>
      <c r="G92" s="14"/>
      <c r="H92" s="13"/>
      <c r="I92" s="16" t="str">
        <f aca="false">IF($C92&lt;&gt;"","Actual orders",IF($D92&lt;&gt;"","Est. from traffic",IF($E92&lt;&gt;"","Est. from revenue","")))</f>
        <v/>
      </c>
      <c r="J92" s="17" t="str">
        <f aca="false">IF($C92&lt;&gt;"",$C92,IF($D92&lt;&gt;"",$D92*IFERROR(INDEX(Assumptions!$C$31:$C$42,MATCH($B92,Assumptions!$B$31:$B$42,0)),Assumptions!$C$19),IF($E92&lt;&gt;"",$E92*1000000/12/IF($F92&lt;&gt;"",$F92,IFERROR(INDEX(Assumptions!$D$31:$D$42,MATCH($B92,Assumptions!$B$31:$B$42,0)),Assumptions!$C$20)),"")))</f>
        <v/>
      </c>
      <c r="K92" s="17" t="str">
        <f aca="false">IF($J92="","",$J92/Assumptions!$C$27)</f>
        <v/>
      </c>
      <c r="L92" s="18" t="str">
        <f aca="false">IF($K92="","",MAX(Assumptions!$C$9*Assumptions!$C$25/($K92*Assumptions!$C$10),0))</f>
        <v/>
      </c>
      <c r="M92" s="18" t="str">
        <f aca="false">IF($K92="","",MAX(Assumptions!$C$9*Assumptions!$C$26/($K92*Assumptions!$C$10),0))</f>
        <v/>
      </c>
      <c r="N92" s="19" t="str">
        <f aca="false">IF($K92="","",MIN(Assumptions!$C$14,52/MAX(Assumptions!$C$9*Assumptions!$C$25/($K92*Assumptions!$C$10),Assumptions!$C$13)))</f>
        <v/>
      </c>
      <c r="O92" s="20" t="str">
        <f aca="false">IF($K92="","",IF($K92&gt;=Assumptions!$C$16,"Tier 1",IF($K92&gt;=Assumptions!$C$17,"Tier 2",IF(AND($G92&lt;&gt;"",$G92&gt;=Assumptions!$C$17),"Tier 3 — micro-conversion tests only","Tier 3"))))</f>
        <v/>
      </c>
      <c r="P92" s="16" t="str">
        <f aca="false">IF(O92="","",IF(LEFT(O92,6)="Tier 1","Pursue — offer trial; 2-week tests on purchase metrics",IF(LEFT(O92,6)="Tier 2","Qualify — trial on top-traffic pages only; bold tests (≥10% lift)",IF(O92="Tier 3","Don't trial A/B — nurture or sell non-testing services","Trial only if tests are scored on CTA clicks / leads, not purchases"))))</f>
        <v/>
      </c>
    </row>
    <row r="93" customFormat="false" ht="15" hidden="false" customHeight="false" outlineLevel="0" collapsed="false">
      <c r="A93" s="13"/>
      <c r="B93" s="13"/>
      <c r="C93" s="14"/>
      <c r="D93" s="14"/>
      <c r="E93" s="15"/>
      <c r="F93" s="15"/>
      <c r="G93" s="14"/>
      <c r="H93" s="13"/>
      <c r="I93" s="16" t="str">
        <f aca="false">IF($C93&lt;&gt;"","Actual orders",IF($D93&lt;&gt;"","Est. from traffic",IF($E93&lt;&gt;"","Est. from revenue","")))</f>
        <v/>
      </c>
      <c r="J93" s="17" t="str">
        <f aca="false">IF($C93&lt;&gt;"",$C93,IF($D93&lt;&gt;"",$D93*IFERROR(INDEX(Assumptions!$C$31:$C$42,MATCH($B93,Assumptions!$B$31:$B$42,0)),Assumptions!$C$19),IF($E93&lt;&gt;"",$E93*1000000/12/IF($F93&lt;&gt;"",$F93,IFERROR(INDEX(Assumptions!$D$31:$D$42,MATCH($B93,Assumptions!$B$31:$B$42,0)),Assumptions!$C$20)),"")))</f>
        <v/>
      </c>
      <c r="K93" s="17" t="str">
        <f aca="false">IF($J93="","",$J93/Assumptions!$C$27)</f>
        <v/>
      </c>
      <c r="L93" s="18" t="str">
        <f aca="false">IF($K93="","",MAX(Assumptions!$C$9*Assumptions!$C$25/($K93*Assumptions!$C$10),0))</f>
        <v/>
      </c>
      <c r="M93" s="18" t="str">
        <f aca="false">IF($K93="","",MAX(Assumptions!$C$9*Assumptions!$C$26/($K93*Assumptions!$C$10),0))</f>
        <v/>
      </c>
      <c r="N93" s="19" t="str">
        <f aca="false">IF($K93="","",MIN(Assumptions!$C$14,52/MAX(Assumptions!$C$9*Assumptions!$C$25/($K93*Assumptions!$C$10),Assumptions!$C$13)))</f>
        <v/>
      </c>
      <c r="O93" s="20" t="str">
        <f aca="false">IF($K93="","",IF($K93&gt;=Assumptions!$C$16,"Tier 1",IF($K93&gt;=Assumptions!$C$17,"Tier 2",IF(AND($G93&lt;&gt;"",$G93&gt;=Assumptions!$C$17),"Tier 3 — micro-conversion tests only","Tier 3"))))</f>
        <v/>
      </c>
      <c r="P93" s="16" t="str">
        <f aca="false">IF(O93="","",IF(LEFT(O93,6)="Tier 1","Pursue — offer trial; 2-week tests on purchase metrics",IF(LEFT(O93,6)="Tier 2","Qualify — trial on top-traffic pages only; bold tests (≥10% lift)",IF(O93="Tier 3","Don't trial A/B — nurture or sell non-testing services","Trial only if tests are scored on CTA clicks / leads, not purchases"))))</f>
        <v/>
      </c>
    </row>
    <row r="94" customFormat="false" ht="15" hidden="false" customHeight="false" outlineLevel="0" collapsed="false">
      <c r="A94" s="13"/>
      <c r="B94" s="13"/>
      <c r="C94" s="14"/>
      <c r="D94" s="14"/>
      <c r="E94" s="15"/>
      <c r="F94" s="15"/>
      <c r="G94" s="14"/>
      <c r="H94" s="13"/>
      <c r="I94" s="16" t="str">
        <f aca="false">IF($C94&lt;&gt;"","Actual orders",IF($D94&lt;&gt;"","Est. from traffic",IF($E94&lt;&gt;"","Est. from revenue","")))</f>
        <v/>
      </c>
      <c r="J94" s="17" t="str">
        <f aca="false">IF($C94&lt;&gt;"",$C94,IF($D94&lt;&gt;"",$D94*IFERROR(INDEX(Assumptions!$C$31:$C$42,MATCH($B94,Assumptions!$B$31:$B$42,0)),Assumptions!$C$19),IF($E94&lt;&gt;"",$E94*1000000/12/IF($F94&lt;&gt;"",$F94,IFERROR(INDEX(Assumptions!$D$31:$D$42,MATCH($B94,Assumptions!$B$31:$B$42,0)),Assumptions!$C$20)),"")))</f>
        <v/>
      </c>
      <c r="K94" s="17" t="str">
        <f aca="false">IF($J94="","",$J94/Assumptions!$C$27)</f>
        <v/>
      </c>
      <c r="L94" s="18" t="str">
        <f aca="false">IF($K94="","",MAX(Assumptions!$C$9*Assumptions!$C$25/($K94*Assumptions!$C$10),0))</f>
        <v/>
      </c>
      <c r="M94" s="18" t="str">
        <f aca="false">IF($K94="","",MAX(Assumptions!$C$9*Assumptions!$C$26/($K94*Assumptions!$C$10),0))</f>
        <v/>
      </c>
      <c r="N94" s="19" t="str">
        <f aca="false">IF($K94="","",MIN(Assumptions!$C$14,52/MAX(Assumptions!$C$9*Assumptions!$C$25/($K94*Assumptions!$C$10),Assumptions!$C$13)))</f>
        <v/>
      </c>
      <c r="O94" s="20" t="str">
        <f aca="false">IF($K94="","",IF($K94&gt;=Assumptions!$C$16,"Tier 1",IF($K94&gt;=Assumptions!$C$17,"Tier 2",IF(AND($G94&lt;&gt;"",$G94&gt;=Assumptions!$C$17),"Tier 3 — micro-conversion tests only","Tier 3"))))</f>
        <v/>
      </c>
      <c r="P94" s="16" t="str">
        <f aca="false">IF(O94="","",IF(LEFT(O94,6)="Tier 1","Pursue — offer trial; 2-week tests on purchase metrics",IF(LEFT(O94,6)="Tier 2","Qualify — trial on top-traffic pages only; bold tests (≥10% lift)",IF(O94="Tier 3","Don't trial A/B — nurture or sell non-testing services","Trial only if tests are scored on CTA clicks / leads, not purchases"))))</f>
        <v/>
      </c>
    </row>
    <row r="95" customFormat="false" ht="15" hidden="false" customHeight="false" outlineLevel="0" collapsed="false">
      <c r="A95" s="13"/>
      <c r="B95" s="13"/>
      <c r="C95" s="14"/>
      <c r="D95" s="14"/>
      <c r="E95" s="15"/>
      <c r="F95" s="15"/>
      <c r="G95" s="14"/>
      <c r="H95" s="13"/>
      <c r="I95" s="16" t="str">
        <f aca="false">IF($C95&lt;&gt;"","Actual orders",IF($D95&lt;&gt;"","Est. from traffic",IF($E95&lt;&gt;"","Est. from revenue","")))</f>
        <v/>
      </c>
      <c r="J95" s="17" t="str">
        <f aca="false">IF($C95&lt;&gt;"",$C95,IF($D95&lt;&gt;"",$D95*IFERROR(INDEX(Assumptions!$C$31:$C$42,MATCH($B95,Assumptions!$B$31:$B$42,0)),Assumptions!$C$19),IF($E95&lt;&gt;"",$E95*1000000/12/IF($F95&lt;&gt;"",$F95,IFERROR(INDEX(Assumptions!$D$31:$D$42,MATCH($B95,Assumptions!$B$31:$B$42,0)),Assumptions!$C$20)),"")))</f>
        <v/>
      </c>
      <c r="K95" s="17" t="str">
        <f aca="false">IF($J95="","",$J95/Assumptions!$C$27)</f>
        <v/>
      </c>
      <c r="L95" s="18" t="str">
        <f aca="false">IF($K95="","",MAX(Assumptions!$C$9*Assumptions!$C$25/($K95*Assumptions!$C$10),0))</f>
        <v/>
      </c>
      <c r="M95" s="18" t="str">
        <f aca="false">IF($K95="","",MAX(Assumptions!$C$9*Assumptions!$C$26/($K95*Assumptions!$C$10),0))</f>
        <v/>
      </c>
      <c r="N95" s="19" t="str">
        <f aca="false">IF($K95="","",MIN(Assumptions!$C$14,52/MAX(Assumptions!$C$9*Assumptions!$C$25/($K95*Assumptions!$C$10),Assumptions!$C$13)))</f>
        <v/>
      </c>
      <c r="O95" s="20" t="str">
        <f aca="false">IF($K95="","",IF($K95&gt;=Assumptions!$C$16,"Tier 1",IF($K95&gt;=Assumptions!$C$17,"Tier 2",IF(AND($G95&lt;&gt;"",$G95&gt;=Assumptions!$C$17),"Tier 3 — micro-conversion tests only","Tier 3"))))</f>
        <v/>
      </c>
      <c r="P95" s="16" t="str">
        <f aca="false">IF(O95="","",IF(LEFT(O95,6)="Tier 1","Pursue — offer trial; 2-week tests on purchase metrics",IF(LEFT(O95,6)="Tier 2","Qualify — trial on top-traffic pages only; bold tests (≥10% lift)",IF(O95="Tier 3","Don't trial A/B — nurture or sell non-testing services","Trial only if tests are scored on CTA clicks / leads, not purchases"))))</f>
        <v/>
      </c>
    </row>
    <row r="96" customFormat="false" ht="15" hidden="false" customHeight="false" outlineLevel="0" collapsed="false">
      <c r="A96" s="13"/>
      <c r="B96" s="13"/>
      <c r="C96" s="14"/>
      <c r="D96" s="14"/>
      <c r="E96" s="15"/>
      <c r="F96" s="15"/>
      <c r="G96" s="14"/>
      <c r="H96" s="13"/>
      <c r="I96" s="16" t="str">
        <f aca="false">IF($C96&lt;&gt;"","Actual orders",IF($D96&lt;&gt;"","Est. from traffic",IF($E96&lt;&gt;"","Est. from revenue","")))</f>
        <v/>
      </c>
      <c r="J96" s="17" t="str">
        <f aca="false">IF($C96&lt;&gt;"",$C96,IF($D96&lt;&gt;"",$D96*IFERROR(INDEX(Assumptions!$C$31:$C$42,MATCH($B96,Assumptions!$B$31:$B$42,0)),Assumptions!$C$19),IF($E96&lt;&gt;"",$E96*1000000/12/IF($F96&lt;&gt;"",$F96,IFERROR(INDEX(Assumptions!$D$31:$D$42,MATCH($B96,Assumptions!$B$31:$B$42,0)),Assumptions!$C$20)),"")))</f>
        <v/>
      </c>
      <c r="K96" s="17" t="str">
        <f aca="false">IF($J96="","",$J96/Assumptions!$C$27)</f>
        <v/>
      </c>
      <c r="L96" s="18" t="str">
        <f aca="false">IF($K96="","",MAX(Assumptions!$C$9*Assumptions!$C$25/($K96*Assumptions!$C$10),0))</f>
        <v/>
      </c>
      <c r="M96" s="18" t="str">
        <f aca="false">IF($K96="","",MAX(Assumptions!$C$9*Assumptions!$C$26/($K96*Assumptions!$C$10),0))</f>
        <v/>
      </c>
      <c r="N96" s="19" t="str">
        <f aca="false">IF($K96="","",MIN(Assumptions!$C$14,52/MAX(Assumptions!$C$9*Assumptions!$C$25/($K96*Assumptions!$C$10),Assumptions!$C$13)))</f>
        <v/>
      </c>
      <c r="O96" s="20" t="str">
        <f aca="false">IF($K96="","",IF($K96&gt;=Assumptions!$C$16,"Tier 1",IF($K96&gt;=Assumptions!$C$17,"Tier 2",IF(AND($G96&lt;&gt;"",$G96&gt;=Assumptions!$C$17),"Tier 3 — micro-conversion tests only","Tier 3"))))</f>
        <v/>
      </c>
      <c r="P96" s="16" t="str">
        <f aca="false">IF(O96="","",IF(LEFT(O96,6)="Tier 1","Pursue — offer trial; 2-week tests on purchase metrics",IF(LEFT(O96,6)="Tier 2","Qualify — trial on top-traffic pages only; bold tests (≥10% lift)",IF(O96="Tier 3","Don't trial A/B — nurture or sell non-testing services","Trial only if tests are scored on CTA clicks / leads, not purchases"))))</f>
        <v/>
      </c>
    </row>
    <row r="97" customFormat="false" ht="15" hidden="false" customHeight="false" outlineLevel="0" collapsed="false">
      <c r="A97" s="13"/>
      <c r="B97" s="13"/>
      <c r="C97" s="14"/>
      <c r="D97" s="14"/>
      <c r="E97" s="15"/>
      <c r="F97" s="15"/>
      <c r="G97" s="14"/>
      <c r="H97" s="13"/>
      <c r="I97" s="16" t="str">
        <f aca="false">IF($C97&lt;&gt;"","Actual orders",IF($D97&lt;&gt;"","Est. from traffic",IF($E97&lt;&gt;"","Est. from revenue","")))</f>
        <v/>
      </c>
      <c r="J97" s="17" t="str">
        <f aca="false">IF($C97&lt;&gt;"",$C97,IF($D97&lt;&gt;"",$D97*IFERROR(INDEX(Assumptions!$C$31:$C$42,MATCH($B97,Assumptions!$B$31:$B$42,0)),Assumptions!$C$19),IF($E97&lt;&gt;"",$E97*1000000/12/IF($F97&lt;&gt;"",$F97,IFERROR(INDEX(Assumptions!$D$31:$D$42,MATCH($B97,Assumptions!$B$31:$B$42,0)),Assumptions!$C$20)),"")))</f>
        <v/>
      </c>
      <c r="K97" s="17" t="str">
        <f aca="false">IF($J97="","",$J97/Assumptions!$C$27)</f>
        <v/>
      </c>
      <c r="L97" s="18" t="str">
        <f aca="false">IF($K97="","",MAX(Assumptions!$C$9*Assumptions!$C$25/($K97*Assumptions!$C$10),0))</f>
        <v/>
      </c>
      <c r="M97" s="18" t="str">
        <f aca="false">IF($K97="","",MAX(Assumptions!$C$9*Assumptions!$C$26/($K97*Assumptions!$C$10),0))</f>
        <v/>
      </c>
      <c r="N97" s="19" t="str">
        <f aca="false">IF($K97="","",MIN(Assumptions!$C$14,52/MAX(Assumptions!$C$9*Assumptions!$C$25/($K97*Assumptions!$C$10),Assumptions!$C$13)))</f>
        <v/>
      </c>
      <c r="O97" s="20" t="str">
        <f aca="false">IF($K97="","",IF($K97&gt;=Assumptions!$C$16,"Tier 1",IF($K97&gt;=Assumptions!$C$17,"Tier 2",IF(AND($G97&lt;&gt;"",$G97&gt;=Assumptions!$C$17),"Tier 3 — micro-conversion tests only","Tier 3"))))</f>
        <v/>
      </c>
      <c r="P97" s="16" t="str">
        <f aca="false">IF(O97="","",IF(LEFT(O97,6)="Tier 1","Pursue — offer trial; 2-week tests on purchase metrics",IF(LEFT(O97,6)="Tier 2","Qualify — trial on top-traffic pages only; bold tests (≥10% lift)",IF(O97="Tier 3","Don't trial A/B — nurture or sell non-testing services","Trial only if tests are scored on CTA clicks / leads, not purchases"))))</f>
        <v/>
      </c>
    </row>
    <row r="98" customFormat="false" ht="15" hidden="false" customHeight="false" outlineLevel="0" collapsed="false">
      <c r="A98" s="13"/>
      <c r="B98" s="13"/>
      <c r="C98" s="14"/>
      <c r="D98" s="14"/>
      <c r="E98" s="15"/>
      <c r="F98" s="15"/>
      <c r="G98" s="14"/>
      <c r="H98" s="13"/>
      <c r="I98" s="16" t="str">
        <f aca="false">IF($C98&lt;&gt;"","Actual orders",IF($D98&lt;&gt;"","Est. from traffic",IF($E98&lt;&gt;"","Est. from revenue","")))</f>
        <v/>
      </c>
      <c r="J98" s="17" t="str">
        <f aca="false">IF($C98&lt;&gt;"",$C98,IF($D98&lt;&gt;"",$D98*IFERROR(INDEX(Assumptions!$C$31:$C$42,MATCH($B98,Assumptions!$B$31:$B$42,0)),Assumptions!$C$19),IF($E98&lt;&gt;"",$E98*1000000/12/IF($F98&lt;&gt;"",$F98,IFERROR(INDEX(Assumptions!$D$31:$D$42,MATCH($B98,Assumptions!$B$31:$B$42,0)),Assumptions!$C$20)),"")))</f>
        <v/>
      </c>
      <c r="K98" s="17" t="str">
        <f aca="false">IF($J98="","",$J98/Assumptions!$C$27)</f>
        <v/>
      </c>
      <c r="L98" s="18" t="str">
        <f aca="false">IF($K98="","",MAX(Assumptions!$C$9*Assumptions!$C$25/($K98*Assumptions!$C$10),0))</f>
        <v/>
      </c>
      <c r="M98" s="18" t="str">
        <f aca="false">IF($K98="","",MAX(Assumptions!$C$9*Assumptions!$C$26/($K98*Assumptions!$C$10),0))</f>
        <v/>
      </c>
      <c r="N98" s="19" t="str">
        <f aca="false">IF($K98="","",MIN(Assumptions!$C$14,52/MAX(Assumptions!$C$9*Assumptions!$C$25/($K98*Assumptions!$C$10),Assumptions!$C$13)))</f>
        <v/>
      </c>
      <c r="O98" s="20" t="str">
        <f aca="false">IF($K98="","",IF($K98&gt;=Assumptions!$C$16,"Tier 1",IF($K98&gt;=Assumptions!$C$17,"Tier 2",IF(AND($G98&lt;&gt;"",$G98&gt;=Assumptions!$C$17),"Tier 3 — micro-conversion tests only","Tier 3"))))</f>
        <v/>
      </c>
      <c r="P98" s="16" t="str">
        <f aca="false">IF(O98="","",IF(LEFT(O98,6)="Tier 1","Pursue — offer trial; 2-week tests on purchase metrics",IF(LEFT(O98,6)="Tier 2","Qualify — trial on top-traffic pages only; bold tests (≥10% lift)",IF(O98="Tier 3","Don't trial A/B — nurture or sell non-testing services","Trial only if tests are scored on CTA clicks / leads, not purchases"))))</f>
        <v/>
      </c>
    </row>
    <row r="99" customFormat="false" ht="15" hidden="false" customHeight="false" outlineLevel="0" collapsed="false">
      <c r="A99" s="13"/>
      <c r="B99" s="13"/>
      <c r="C99" s="14"/>
      <c r="D99" s="14"/>
      <c r="E99" s="15"/>
      <c r="F99" s="15"/>
      <c r="G99" s="14"/>
      <c r="H99" s="13"/>
      <c r="I99" s="16" t="str">
        <f aca="false">IF($C99&lt;&gt;"","Actual orders",IF($D99&lt;&gt;"","Est. from traffic",IF($E99&lt;&gt;"","Est. from revenue","")))</f>
        <v/>
      </c>
      <c r="J99" s="17" t="str">
        <f aca="false">IF($C99&lt;&gt;"",$C99,IF($D99&lt;&gt;"",$D99*IFERROR(INDEX(Assumptions!$C$31:$C$42,MATCH($B99,Assumptions!$B$31:$B$42,0)),Assumptions!$C$19),IF($E99&lt;&gt;"",$E99*1000000/12/IF($F99&lt;&gt;"",$F99,IFERROR(INDEX(Assumptions!$D$31:$D$42,MATCH($B99,Assumptions!$B$31:$B$42,0)),Assumptions!$C$20)),"")))</f>
        <v/>
      </c>
      <c r="K99" s="17" t="str">
        <f aca="false">IF($J99="","",$J99/Assumptions!$C$27)</f>
        <v/>
      </c>
      <c r="L99" s="18" t="str">
        <f aca="false">IF($K99="","",MAX(Assumptions!$C$9*Assumptions!$C$25/($K99*Assumptions!$C$10),0))</f>
        <v/>
      </c>
      <c r="M99" s="18" t="str">
        <f aca="false">IF($K99="","",MAX(Assumptions!$C$9*Assumptions!$C$26/($K99*Assumptions!$C$10),0))</f>
        <v/>
      </c>
      <c r="N99" s="19" t="str">
        <f aca="false">IF($K99="","",MIN(Assumptions!$C$14,52/MAX(Assumptions!$C$9*Assumptions!$C$25/($K99*Assumptions!$C$10),Assumptions!$C$13)))</f>
        <v/>
      </c>
      <c r="O99" s="20" t="str">
        <f aca="false">IF($K99="","",IF($K99&gt;=Assumptions!$C$16,"Tier 1",IF($K99&gt;=Assumptions!$C$17,"Tier 2",IF(AND($G99&lt;&gt;"",$G99&gt;=Assumptions!$C$17),"Tier 3 — micro-conversion tests only","Tier 3"))))</f>
        <v/>
      </c>
      <c r="P99" s="16" t="str">
        <f aca="false">IF(O99="","",IF(LEFT(O99,6)="Tier 1","Pursue — offer trial; 2-week tests on purchase metrics",IF(LEFT(O99,6)="Tier 2","Qualify — trial on top-traffic pages only; bold tests (≥10% lift)",IF(O99="Tier 3","Don't trial A/B — nurture or sell non-testing services","Trial only if tests are scored on CTA clicks / leads, not purchases"))))</f>
        <v/>
      </c>
    </row>
    <row r="100" customFormat="false" ht="15" hidden="false" customHeight="false" outlineLevel="0" collapsed="false">
      <c r="A100" s="13"/>
      <c r="B100" s="13"/>
      <c r="C100" s="14"/>
      <c r="D100" s="14"/>
      <c r="E100" s="15"/>
      <c r="F100" s="15"/>
      <c r="G100" s="14"/>
      <c r="H100" s="13"/>
      <c r="I100" s="16" t="str">
        <f aca="false">IF($C100&lt;&gt;"","Actual orders",IF($D100&lt;&gt;"","Est. from traffic",IF($E100&lt;&gt;"","Est. from revenue","")))</f>
        <v/>
      </c>
      <c r="J100" s="17" t="str">
        <f aca="false">IF($C100&lt;&gt;"",$C100,IF($D100&lt;&gt;"",$D100*IFERROR(INDEX(Assumptions!$C$31:$C$42,MATCH($B100,Assumptions!$B$31:$B$42,0)),Assumptions!$C$19),IF($E100&lt;&gt;"",$E100*1000000/12/IF($F100&lt;&gt;"",$F100,IFERROR(INDEX(Assumptions!$D$31:$D$42,MATCH($B100,Assumptions!$B$31:$B$42,0)),Assumptions!$C$20)),"")))</f>
        <v/>
      </c>
      <c r="K100" s="17" t="str">
        <f aca="false">IF($J100="","",$J100/Assumptions!$C$27)</f>
        <v/>
      </c>
      <c r="L100" s="18" t="str">
        <f aca="false">IF($K100="","",MAX(Assumptions!$C$9*Assumptions!$C$25/($K100*Assumptions!$C$10),0))</f>
        <v/>
      </c>
      <c r="M100" s="18" t="str">
        <f aca="false">IF($K100="","",MAX(Assumptions!$C$9*Assumptions!$C$26/($K100*Assumptions!$C$10),0))</f>
        <v/>
      </c>
      <c r="N100" s="19" t="str">
        <f aca="false">IF($K100="","",MIN(Assumptions!$C$14,52/MAX(Assumptions!$C$9*Assumptions!$C$25/($K100*Assumptions!$C$10),Assumptions!$C$13)))</f>
        <v/>
      </c>
      <c r="O100" s="20" t="str">
        <f aca="false">IF($K100="","",IF($K100&gt;=Assumptions!$C$16,"Tier 1",IF($K100&gt;=Assumptions!$C$17,"Tier 2",IF(AND($G100&lt;&gt;"",$G100&gt;=Assumptions!$C$17),"Tier 3 — micro-conversion tests only","Tier 3"))))</f>
        <v/>
      </c>
      <c r="P100" s="16" t="str">
        <f aca="false">IF(O100="","",IF(LEFT(O100,6)="Tier 1","Pursue — offer trial; 2-week tests on purchase metrics",IF(LEFT(O100,6)="Tier 2","Qualify — trial on top-traffic pages only; bold tests (≥10% lift)",IF(O100="Tier 3","Don't trial A/B — nurture or sell non-testing services","Trial only if tests are scored on CTA clicks / leads, not purchases"))))</f>
        <v/>
      </c>
    </row>
    <row r="101" customFormat="false" ht="15" hidden="false" customHeight="false" outlineLevel="0" collapsed="false">
      <c r="A101" s="13"/>
      <c r="B101" s="13"/>
      <c r="C101" s="14"/>
      <c r="D101" s="14"/>
      <c r="E101" s="15"/>
      <c r="F101" s="15"/>
      <c r="G101" s="14"/>
      <c r="H101" s="13"/>
      <c r="I101" s="16" t="str">
        <f aca="false">IF($C101&lt;&gt;"","Actual orders",IF($D101&lt;&gt;"","Est. from traffic",IF($E101&lt;&gt;"","Est. from revenue","")))</f>
        <v/>
      </c>
      <c r="J101" s="17" t="str">
        <f aca="false">IF($C101&lt;&gt;"",$C101,IF($D101&lt;&gt;"",$D101*IFERROR(INDEX(Assumptions!$C$31:$C$42,MATCH($B101,Assumptions!$B$31:$B$42,0)),Assumptions!$C$19),IF($E101&lt;&gt;"",$E101*1000000/12/IF($F101&lt;&gt;"",$F101,IFERROR(INDEX(Assumptions!$D$31:$D$42,MATCH($B101,Assumptions!$B$31:$B$42,0)),Assumptions!$C$20)),"")))</f>
        <v/>
      </c>
      <c r="K101" s="17" t="str">
        <f aca="false">IF($J101="","",$J101/Assumptions!$C$27)</f>
        <v/>
      </c>
      <c r="L101" s="18" t="str">
        <f aca="false">IF($K101="","",MAX(Assumptions!$C$9*Assumptions!$C$25/($K101*Assumptions!$C$10),0))</f>
        <v/>
      </c>
      <c r="M101" s="18" t="str">
        <f aca="false">IF($K101="","",MAX(Assumptions!$C$9*Assumptions!$C$26/($K101*Assumptions!$C$10),0))</f>
        <v/>
      </c>
      <c r="N101" s="19" t="str">
        <f aca="false">IF($K101="","",MIN(Assumptions!$C$14,52/MAX(Assumptions!$C$9*Assumptions!$C$25/($K101*Assumptions!$C$10),Assumptions!$C$13)))</f>
        <v/>
      </c>
      <c r="O101" s="20" t="str">
        <f aca="false">IF($K101="","",IF($K101&gt;=Assumptions!$C$16,"Tier 1",IF($K101&gt;=Assumptions!$C$17,"Tier 2",IF(AND($G101&lt;&gt;"",$G101&gt;=Assumptions!$C$17),"Tier 3 — micro-conversion tests only","Tier 3"))))</f>
        <v/>
      </c>
      <c r="P101" s="16" t="str">
        <f aca="false">IF(O101="","",IF(LEFT(O101,6)="Tier 1","Pursue — offer trial; 2-week tests on purchase metrics",IF(LEFT(O101,6)="Tier 2","Qualify — trial on top-traffic pages only; bold tests (≥10% lift)",IF(O101="Tier 3","Don't trial A/B — nurture or sell non-testing services","Trial only if tests are scored on CTA clicks / leads, not purchases"))))</f>
        <v/>
      </c>
    </row>
    <row r="102" customFormat="false" ht="15" hidden="false" customHeight="false" outlineLevel="0" collapsed="false">
      <c r="A102" s="13"/>
      <c r="B102" s="13"/>
      <c r="C102" s="14"/>
      <c r="D102" s="14"/>
      <c r="E102" s="15"/>
      <c r="F102" s="15"/>
      <c r="G102" s="14"/>
      <c r="H102" s="13"/>
      <c r="I102" s="16" t="str">
        <f aca="false">IF($C102&lt;&gt;"","Actual orders",IF($D102&lt;&gt;"","Est. from traffic",IF($E102&lt;&gt;"","Est. from revenue","")))</f>
        <v/>
      </c>
      <c r="J102" s="17" t="str">
        <f aca="false">IF($C102&lt;&gt;"",$C102,IF($D102&lt;&gt;"",$D102*IFERROR(INDEX(Assumptions!$C$31:$C$42,MATCH($B102,Assumptions!$B$31:$B$42,0)),Assumptions!$C$19),IF($E102&lt;&gt;"",$E102*1000000/12/IF($F102&lt;&gt;"",$F102,IFERROR(INDEX(Assumptions!$D$31:$D$42,MATCH($B102,Assumptions!$B$31:$B$42,0)),Assumptions!$C$20)),"")))</f>
        <v/>
      </c>
      <c r="K102" s="17" t="str">
        <f aca="false">IF($J102="","",$J102/Assumptions!$C$27)</f>
        <v/>
      </c>
      <c r="L102" s="18" t="str">
        <f aca="false">IF($K102="","",MAX(Assumptions!$C$9*Assumptions!$C$25/($K102*Assumptions!$C$10),0))</f>
        <v/>
      </c>
      <c r="M102" s="18" t="str">
        <f aca="false">IF($K102="","",MAX(Assumptions!$C$9*Assumptions!$C$26/($K102*Assumptions!$C$10),0))</f>
        <v/>
      </c>
      <c r="N102" s="19" t="str">
        <f aca="false">IF($K102="","",MIN(Assumptions!$C$14,52/MAX(Assumptions!$C$9*Assumptions!$C$25/($K102*Assumptions!$C$10),Assumptions!$C$13)))</f>
        <v/>
      </c>
      <c r="O102" s="20" t="str">
        <f aca="false">IF($K102="","",IF($K102&gt;=Assumptions!$C$16,"Tier 1",IF($K102&gt;=Assumptions!$C$17,"Tier 2",IF(AND($G102&lt;&gt;"",$G102&gt;=Assumptions!$C$17),"Tier 3 — micro-conversion tests only","Tier 3"))))</f>
        <v/>
      </c>
      <c r="P102" s="16" t="str">
        <f aca="false">IF(O102="","",IF(LEFT(O102,6)="Tier 1","Pursue — offer trial; 2-week tests on purchase metrics",IF(LEFT(O102,6)="Tier 2","Qualify — trial on top-traffic pages only; bold tests (≥10% lift)",IF(O102="Tier 3","Don't trial A/B — nurture or sell non-testing services","Trial only if tests are scored on CTA clicks / leads, not purchases"))))</f>
        <v/>
      </c>
    </row>
    <row r="103" customFormat="false" ht="15" hidden="false" customHeight="false" outlineLevel="0" collapsed="false">
      <c r="A103" s="13"/>
      <c r="B103" s="13"/>
      <c r="C103" s="14"/>
      <c r="D103" s="14"/>
      <c r="E103" s="15"/>
      <c r="F103" s="15"/>
      <c r="G103" s="14"/>
      <c r="H103" s="13"/>
      <c r="I103" s="16" t="str">
        <f aca="false">IF($C103&lt;&gt;"","Actual orders",IF($D103&lt;&gt;"","Est. from traffic",IF($E103&lt;&gt;"","Est. from revenue","")))</f>
        <v/>
      </c>
      <c r="J103" s="17" t="str">
        <f aca="false">IF($C103&lt;&gt;"",$C103,IF($D103&lt;&gt;"",$D103*IFERROR(INDEX(Assumptions!$C$31:$C$42,MATCH($B103,Assumptions!$B$31:$B$42,0)),Assumptions!$C$19),IF($E103&lt;&gt;"",$E103*1000000/12/IF($F103&lt;&gt;"",$F103,IFERROR(INDEX(Assumptions!$D$31:$D$42,MATCH($B103,Assumptions!$B$31:$B$42,0)),Assumptions!$C$20)),"")))</f>
        <v/>
      </c>
      <c r="K103" s="17" t="str">
        <f aca="false">IF($J103="","",$J103/Assumptions!$C$27)</f>
        <v/>
      </c>
      <c r="L103" s="18" t="str">
        <f aca="false">IF($K103="","",MAX(Assumptions!$C$9*Assumptions!$C$25/($K103*Assumptions!$C$10),0))</f>
        <v/>
      </c>
      <c r="M103" s="18" t="str">
        <f aca="false">IF($K103="","",MAX(Assumptions!$C$9*Assumptions!$C$26/($K103*Assumptions!$C$10),0))</f>
        <v/>
      </c>
      <c r="N103" s="19" t="str">
        <f aca="false">IF($K103="","",MIN(Assumptions!$C$14,52/MAX(Assumptions!$C$9*Assumptions!$C$25/($K103*Assumptions!$C$10),Assumptions!$C$13)))</f>
        <v/>
      </c>
      <c r="O103" s="20" t="str">
        <f aca="false">IF($K103="","",IF($K103&gt;=Assumptions!$C$16,"Tier 1",IF($K103&gt;=Assumptions!$C$17,"Tier 2",IF(AND($G103&lt;&gt;"",$G103&gt;=Assumptions!$C$17),"Tier 3 — micro-conversion tests only","Tier 3"))))</f>
        <v/>
      </c>
      <c r="P103" s="16" t="str">
        <f aca="false">IF(O103="","",IF(LEFT(O103,6)="Tier 1","Pursue — offer trial; 2-week tests on purchase metrics",IF(LEFT(O103,6)="Tier 2","Qualify — trial on top-traffic pages only; bold tests (≥10% lift)",IF(O103="Tier 3","Don't trial A/B — nurture or sell non-testing services","Trial only if tests are scored on CTA clicks / leads, not purchases"))))</f>
        <v/>
      </c>
    </row>
    <row r="104" customFormat="false" ht="15" hidden="false" customHeight="false" outlineLevel="0" collapsed="false">
      <c r="A104" s="13"/>
      <c r="B104" s="13"/>
      <c r="C104" s="14"/>
      <c r="D104" s="14"/>
      <c r="E104" s="15"/>
      <c r="F104" s="15"/>
      <c r="G104" s="14"/>
      <c r="H104" s="13"/>
      <c r="I104" s="16" t="str">
        <f aca="false">IF($C104&lt;&gt;"","Actual orders",IF($D104&lt;&gt;"","Est. from traffic",IF($E104&lt;&gt;"","Est. from revenue","")))</f>
        <v/>
      </c>
      <c r="J104" s="17" t="str">
        <f aca="false">IF($C104&lt;&gt;"",$C104,IF($D104&lt;&gt;"",$D104*IFERROR(INDEX(Assumptions!$C$31:$C$42,MATCH($B104,Assumptions!$B$31:$B$42,0)),Assumptions!$C$19),IF($E104&lt;&gt;"",$E104*1000000/12/IF($F104&lt;&gt;"",$F104,IFERROR(INDEX(Assumptions!$D$31:$D$42,MATCH($B104,Assumptions!$B$31:$B$42,0)),Assumptions!$C$20)),"")))</f>
        <v/>
      </c>
      <c r="K104" s="17" t="str">
        <f aca="false">IF($J104="","",$J104/Assumptions!$C$27)</f>
        <v/>
      </c>
      <c r="L104" s="18" t="str">
        <f aca="false">IF($K104="","",MAX(Assumptions!$C$9*Assumptions!$C$25/($K104*Assumptions!$C$10),0))</f>
        <v/>
      </c>
      <c r="M104" s="18" t="str">
        <f aca="false">IF($K104="","",MAX(Assumptions!$C$9*Assumptions!$C$26/($K104*Assumptions!$C$10),0))</f>
        <v/>
      </c>
      <c r="N104" s="19" t="str">
        <f aca="false">IF($K104="","",MIN(Assumptions!$C$14,52/MAX(Assumptions!$C$9*Assumptions!$C$25/($K104*Assumptions!$C$10),Assumptions!$C$13)))</f>
        <v/>
      </c>
      <c r="O104" s="20" t="str">
        <f aca="false">IF($K104="","",IF($K104&gt;=Assumptions!$C$16,"Tier 1",IF($K104&gt;=Assumptions!$C$17,"Tier 2",IF(AND($G104&lt;&gt;"",$G104&gt;=Assumptions!$C$17),"Tier 3 — micro-conversion tests only","Tier 3"))))</f>
        <v/>
      </c>
      <c r="P104" s="16" t="str">
        <f aca="false">IF(O104="","",IF(LEFT(O104,6)="Tier 1","Pursue — offer trial; 2-week tests on purchase metrics",IF(LEFT(O104,6)="Tier 2","Qualify — trial on top-traffic pages only; bold tests (≥10% lift)",IF(O104="Tier 3","Don't trial A/B — nurture or sell non-testing services","Trial only if tests are scored on CTA clicks / leads, not purchases"))))</f>
        <v/>
      </c>
    </row>
    <row r="105" customFormat="false" ht="15" hidden="false" customHeight="false" outlineLevel="0" collapsed="false">
      <c r="A105" s="13"/>
      <c r="B105" s="13"/>
      <c r="C105" s="14"/>
      <c r="D105" s="14"/>
      <c r="E105" s="15"/>
      <c r="F105" s="15"/>
      <c r="G105" s="14"/>
      <c r="H105" s="13"/>
      <c r="I105" s="16" t="str">
        <f aca="false">IF($C105&lt;&gt;"","Actual orders",IF($D105&lt;&gt;"","Est. from traffic",IF($E105&lt;&gt;"","Est. from revenue","")))</f>
        <v/>
      </c>
      <c r="J105" s="17" t="str">
        <f aca="false">IF($C105&lt;&gt;"",$C105,IF($D105&lt;&gt;"",$D105*IFERROR(INDEX(Assumptions!$C$31:$C$42,MATCH($B105,Assumptions!$B$31:$B$42,0)),Assumptions!$C$19),IF($E105&lt;&gt;"",$E105*1000000/12/IF($F105&lt;&gt;"",$F105,IFERROR(INDEX(Assumptions!$D$31:$D$42,MATCH($B105,Assumptions!$B$31:$B$42,0)),Assumptions!$C$20)),"")))</f>
        <v/>
      </c>
      <c r="K105" s="17" t="str">
        <f aca="false">IF($J105="","",$J105/Assumptions!$C$27)</f>
        <v/>
      </c>
      <c r="L105" s="18" t="str">
        <f aca="false">IF($K105="","",MAX(Assumptions!$C$9*Assumptions!$C$25/($K105*Assumptions!$C$10),0))</f>
        <v/>
      </c>
      <c r="M105" s="18" t="str">
        <f aca="false">IF($K105="","",MAX(Assumptions!$C$9*Assumptions!$C$26/($K105*Assumptions!$C$10),0))</f>
        <v/>
      </c>
      <c r="N105" s="19" t="str">
        <f aca="false">IF($K105="","",MIN(Assumptions!$C$14,52/MAX(Assumptions!$C$9*Assumptions!$C$25/($K105*Assumptions!$C$10),Assumptions!$C$13)))</f>
        <v/>
      </c>
      <c r="O105" s="20" t="str">
        <f aca="false">IF($K105="","",IF($K105&gt;=Assumptions!$C$16,"Tier 1",IF($K105&gt;=Assumptions!$C$17,"Tier 2",IF(AND($G105&lt;&gt;"",$G105&gt;=Assumptions!$C$17),"Tier 3 — micro-conversion tests only","Tier 3"))))</f>
        <v/>
      </c>
      <c r="P105" s="16" t="str">
        <f aca="false">IF(O105="","",IF(LEFT(O105,6)="Tier 1","Pursue — offer trial; 2-week tests on purchase metrics",IF(LEFT(O105,6)="Tier 2","Qualify — trial on top-traffic pages only; bold tests (≥10% lift)",IF(O105="Tier 3","Don't trial A/B — nurture or sell non-testing services","Trial only if tests are scored on CTA clicks / leads, not purchases"))))</f>
        <v/>
      </c>
    </row>
    <row r="106" customFormat="false" ht="15" hidden="false" customHeight="false" outlineLevel="0" collapsed="false">
      <c r="A106" s="13"/>
      <c r="B106" s="13"/>
      <c r="C106" s="14"/>
      <c r="D106" s="14"/>
      <c r="E106" s="15"/>
      <c r="F106" s="15"/>
      <c r="G106" s="14"/>
      <c r="H106" s="13"/>
      <c r="I106" s="16" t="str">
        <f aca="false">IF($C106&lt;&gt;"","Actual orders",IF($D106&lt;&gt;"","Est. from traffic",IF($E106&lt;&gt;"","Est. from revenue","")))</f>
        <v/>
      </c>
      <c r="J106" s="17" t="str">
        <f aca="false">IF($C106&lt;&gt;"",$C106,IF($D106&lt;&gt;"",$D106*IFERROR(INDEX(Assumptions!$C$31:$C$42,MATCH($B106,Assumptions!$B$31:$B$42,0)),Assumptions!$C$19),IF($E106&lt;&gt;"",$E106*1000000/12/IF($F106&lt;&gt;"",$F106,IFERROR(INDEX(Assumptions!$D$31:$D$42,MATCH($B106,Assumptions!$B$31:$B$42,0)),Assumptions!$C$20)),"")))</f>
        <v/>
      </c>
      <c r="K106" s="17" t="str">
        <f aca="false">IF($J106="","",$J106/Assumptions!$C$27)</f>
        <v/>
      </c>
      <c r="L106" s="18" t="str">
        <f aca="false">IF($K106="","",MAX(Assumptions!$C$9*Assumptions!$C$25/($K106*Assumptions!$C$10),0))</f>
        <v/>
      </c>
      <c r="M106" s="18" t="str">
        <f aca="false">IF($K106="","",MAX(Assumptions!$C$9*Assumptions!$C$26/($K106*Assumptions!$C$10),0))</f>
        <v/>
      </c>
      <c r="N106" s="19" t="str">
        <f aca="false">IF($K106="","",MIN(Assumptions!$C$14,52/MAX(Assumptions!$C$9*Assumptions!$C$25/($K106*Assumptions!$C$10),Assumptions!$C$13)))</f>
        <v/>
      </c>
      <c r="O106" s="20" t="str">
        <f aca="false">IF($K106="","",IF($K106&gt;=Assumptions!$C$16,"Tier 1",IF($K106&gt;=Assumptions!$C$17,"Tier 2",IF(AND($G106&lt;&gt;"",$G106&gt;=Assumptions!$C$17),"Tier 3 — micro-conversion tests only","Tier 3"))))</f>
        <v/>
      </c>
      <c r="P106" s="16" t="str">
        <f aca="false">IF(O106="","",IF(LEFT(O106,6)="Tier 1","Pursue — offer trial; 2-week tests on purchase metrics",IF(LEFT(O106,6)="Tier 2","Qualify — trial on top-traffic pages only; bold tests (≥10% lift)",IF(O106="Tier 3","Don't trial A/B — nurture or sell non-testing services","Trial only if tests are scored on CTA clicks / leads, not purchases"))))</f>
        <v/>
      </c>
    </row>
    <row r="107" customFormat="false" ht="15" hidden="false" customHeight="false" outlineLevel="0" collapsed="false">
      <c r="A107" s="13"/>
      <c r="B107" s="13"/>
      <c r="C107" s="14"/>
      <c r="D107" s="14"/>
      <c r="E107" s="15"/>
      <c r="F107" s="15"/>
      <c r="G107" s="14"/>
      <c r="H107" s="13"/>
      <c r="I107" s="16" t="str">
        <f aca="false">IF($C107&lt;&gt;"","Actual orders",IF($D107&lt;&gt;"","Est. from traffic",IF($E107&lt;&gt;"","Est. from revenue","")))</f>
        <v/>
      </c>
      <c r="J107" s="17" t="str">
        <f aca="false">IF($C107&lt;&gt;"",$C107,IF($D107&lt;&gt;"",$D107*IFERROR(INDEX(Assumptions!$C$31:$C$42,MATCH($B107,Assumptions!$B$31:$B$42,0)),Assumptions!$C$19),IF($E107&lt;&gt;"",$E107*1000000/12/IF($F107&lt;&gt;"",$F107,IFERROR(INDEX(Assumptions!$D$31:$D$42,MATCH($B107,Assumptions!$B$31:$B$42,0)),Assumptions!$C$20)),"")))</f>
        <v/>
      </c>
      <c r="K107" s="17" t="str">
        <f aca="false">IF($J107="","",$J107/Assumptions!$C$27)</f>
        <v/>
      </c>
      <c r="L107" s="18" t="str">
        <f aca="false">IF($K107="","",MAX(Assumptions!$C$9*Assumptions!$C$25/($K107*Assumptions!$C$10),0))</f>
        <v/>
      </c>
      <c r="M107" s="18" t="str">
        <f aca="false">IF($K107="","",MAX(Assumptions!$C$9*Assumptions!$C$26/($K107*Assumptions!$C$10),0))</f>
        <v/>
      </c>
      <c r="N107" s="19" t="str">
        <f aca="false">IF($K107="","",MIN(Assumptions!$C$14,52/MAX(Assumptions!$C$9*Assumptions!$C$25/($K107*Assumptions!$C$10),Assumptions!$C$13)))</f>
        <v/>
      </c>
      <c r="O107" s="20" t="str">
        <f aca="false">IF($K107="","",IF($K107&gt;=Assumptions!$C$16,"Tier 1",IF($K107&gt;=Assumptions!$C$17,"Tier 2",IF(AND($G107&lt;&gt;"",$G107&gt;=Assumptions!$C$17),"Tier 3 — micro-conversion tests only","Tier 3"))))</f>
        <v/>
      </c>
      <c r="P107" s="16" t="str">
        <f aca="false">IF(O107="","",IF(LEFT(O107,6)="Tier 1","Pursue — offer trial; 2-week tests on purchase metrics",IF(LEFT(O107,6)="Tier 2","Qualify — trial on top-traffic pages only; bold tests (≥10% lift)",IF(O107="Tier 3","Don't trial A/B — nurture or sell non-testing services","Trial only if tests are scored on CTA clicks / leads, not purchases"))))</f>
        <v/>
      </c>
    </row>
    <row r="108" customFormat="false" ht="15" hidden="false" customHeight="false" outlineLevel="0" collapsed="false">
      <c r="A108" s="13"/>
      <c r="B108" s="13"/>
      <c r="C108" s="14"/>
      <c r="D108" s="14"/>
      <c r="E108" s="15"/>
      <c r="F108" s="15"/>
      <c r="G108" s="14"/>
      <c r="H108" s="13"/>
      <c r="I108" s="16" t="str">
        <f aca="false">IF($C108&lt;&gt;"","Actual orders",IF($D108&lt;&gt;"","Est. from traffic",IF($E108&lt;&gt;"","Est. from revenue","")))</f>
        <v/>
      </c>
      <c r="J108" s="17" t="str">
        <f aca="false">IF($C108&lt;&gt;"",$C108,IF($D108&lt;&gt;"",$D108*IFERROR(INDEX(Assumptions!$C$31:$C$42,MATCH($B108,Assumptions!$B$31:$B$42,0)),Assumptions!$C$19),IF($E108&lt;&gt;"",$E108*1000000/12/IF($F108&lt;&gt;"",$F108,IFERROR(INDEX(Assumptions!$D$31:$D$42,MATCH($B108,Assumptions!$B$31:$B$42,0)),Assumptions!$C$20)),"")))</f>
        <v/>
      </c>
      <c r="K108" s="17" t="str">
        <f aca="false">IF($J108="","",$J108/Assumptions!$C$27)</f>
        <v/>
      </c>
      <c r="L108" s="18" t="str">
        <f aca="false">IF($K108="","",MAX(Assumptions!$C$9*Assumptions!$C$25/($K108*Assumptions!$C$10),0))</f>
        <v/>
      </c>
      <c r="M108" s="18" t="str">
        <f aca="false">IF($K108="","",MAX(Assumptions!$C$9*Assumptions!$C$26/($K108*Assumptions!$C$10),0))</f>
        <v/>
      </c>
      <c r="N108" s="19" t="str">
        <f aca="false">IF($K108="","",MIN(Assumptions!$C$14,52/MAX(Assumptions!$C$9*Assumptions!$C$25/($K108*Assumptions!$C$10),Assumptions!$C$13)))</f>
        <v/>
      </c>
      <c r="O108" s="20" t="str">
        <f aca="false">IF($K108="","",IF($K108&gt;=Assumptions!$C$16,"Tier 1",IF($K108&gt;=Assumptions!$C$17,"Tier 2",IF(AND($G108&lt;&gt;"",$G108&gt;=Assumptions!$C$17),"Tier 3 — micro-conversion tests only","Tier 3"))))</f>
        <v/>
      </c>
      <c r="P108" s="16" t="str">
        <f aca="false">IF(O108="","",IF(LEFT(O108,6)="Tier 1","Pursue — offer trial; 2-week tests on purchase metrics",IF(LEFT(O108,6)="Tier 2","Qualify — trial on top-traffic pages only; bold tests (≥10% lift)",IF(O108="Tier 3","Don't trial A/B — nurture or sell non-testing services","Trial only if tests are scored on CTA clicks / leads, not purchases"))))</f>
        <v/>
      </c>
    </row>
    <row r="109" customFormat="false" ht="15" hidden="false" customHeight="false" outlineLevel="0" collapsed="false">
      <c r="A109" s="13"/>
      <c r="B109" s="13"/>
      <c r="C109" s="14"/>
      <c r="D109" s="14"/>
      <c r="E109" s="15"/>
      <c r="F109" s="15"/>
      <c r="G109" s="14"/>
      <c r="H109" s="13"/>
      <c r="I109" s="16" t="str">
        <f aca="false">IF($C109&lt;&gt;"","Actual orders",IF($D109&lt;&gt;"","Est. from traffic",IF($E109&lt;&gt;"","Est. from revenue","")))</f>
        <v/>
      </c>
      <c r="J109" s="17" t="str">
        <f aca="false">IF($C109&lt;&gt;"",$C109,IF($D109&lt;&gt;"",$D109*IFERROR(INDEX(Assumptions!$C$31:$C$42,MATCH($B109,Assumptions!$B$31:$B$42,0)),Assumptions!$C$19),IF($E109&lt;&gt;"",$E109*1000000/12/IF($F109&lt;&gt;"",$F109,IFERROR(INDEX(Assumptions!$D$31:$D$42,MATCH($B109,Assumptions!$B$31:$B$42,0)),Assumptions!$C$20)),"")))</f>
        <v/>
      </c>
      <c r="K109" s="17" t="str">
        <f aca="false">IF($J109="","",$J109/Assumptions!$C$27)</f>
        <v/>
      </c>
      <c r="L109" s="18" t="str">
        <f aca="false">IF($K109="","",MAX(Assumptions!$C$9*Assumptions!$C$25/($K109*Assumptions!$C$10),0))</f>
        <v/>
      </c>
      <c r="M109" s="18" t="str">
        <f aca="false">IF($K109="","",MAX(Assumptions!$C$9*Assumptions!$C$26/($K109*Assumptions!$C$10),0))</f>
        <v/>
      </c>
      <c r="N109" s="19" t="str">
        <f aca="false">IF($K109="","",MIN(Assumptions!$C$14,52/MAX(Assumptions!$C$9*Assumptions!$C$25/($K109*Assumptions!$C$10),Assumptions!$C$13)))</f>
        <v/>
      </c>
      <c r="O109" s="20" t="str">
        <f aca="false">IF($K109="","",IF($K109&gt;=Assumptions!$C$16,"Tier 1",IF($K109&gt;=Assumptions!$C$17,"Tier 2",IF(AND($G109&lt;&gt;"",$G109&gt;=Assumptions!$C$17),"Tier 3 — micro-conversion tests only","Tier 3"))))</f>
        <v/>
      </c>
      <c r="P109" s="16" t="str">
        <f aca="false">IF(O109="","",IF(LEFT(O109,6)="Tier 1","Pursue — offer trial; 2-week tests on purchase metrics",IF(LEFT(O109,6)="Tier 2","Qualify — trial on top-traffic pages only; bold tests (≥10% lift)",IF(O109="Tier 3","Don't trial A/B — nurture or sell non-testing services","Trial only if tests are scored on CTA clicks / leads, not purchases"))))</f>
        <v/>
      </c>
    </row>
    <row r="110" customFormat="false" ht="15" hidden="false" customHeight="false" outlineLevel="0" collapsed="false">
      <c r="A110" s="13"/>
      <c r="B110" s="13"/>
      <c r="C110" s="14"/>
      <c r="D110" s="14"/>
      <c r="E110" s="15"/>
      <c r="F110" s="15"/>
      <c r="G110" s="14"/>
      <c r="H110" s="13"/>
      <c r="I110" s="16" t="str">
        <f aca="false">IF($C110&lt;&gt;"","Actual orders",IF($D110&lt;&gt;"","Est. from traffic",IF($E110&lt;&gt;"","Est. from revenue","")))</f>
        <v/>
      </c>
      <c r="J110" s="17" t="str">
        <f aca="false">IF($C110&lt;&gt;"",$C110,IF($D110&lt;&gt;"",$D110*IFERROR(INDEX(Assumptions!$C$31:$C$42,MATCH($B110,Assumptions!$B$31:$B$42,0)),Assumptions!$C$19),IF($E110&lt;&gt;"",$E110*1000000/12/IF($F110&lt;&gt;"",$F110,IFERROR(INDEX(Assumptions!$D$31:$D$42,MATCH($B110,Assumptions!$B$31:$B$42,0)),Assumptions!$C$20)),"")))</f>
        <v/>
      </c>
      <c r="K110" s="17" t="str">
        <f aca="false">IF($J110="","",$J110/Assumptions!$C$27)</f>
        <v/>
      </c>
      <c r="L110" s="18" t="str">
        <f aca="false">IF($K110="","",MAX(Assumptions!$C$9*Assumptions!$C$25/($K110*Assumptions!$C$10),0))</f>
        <v/>
      </c>
      <c r="M110" s="18" t="str">
        <f aca="false">IF($K110="","",MAX(Assumptions!$C$9*Assumptions!$C$26/($K110*Assumptions!$C$10),0))</f>
        <v/>
      </c>
      <c r="N110" s="19" t="str">
        <f aca="false">IF($K110="","",MIN(Assumptions!$C$14,52/MAX(Assumptions!$C$9*Assumptions!$C$25/($K110*Assumptions!$C$10),Assumptions!$C$13)))</f>
        <v/>
      </c>
      <c r="O110" s="20" t="str">
        <f aca="false">IF($K110="","",IF($K110&gt;=Assumptions!$C$16,"Tier 1",IF($K110&gt;=Assumptions!$C$17,"Tier 2",IF(AND($G110&lt;&gt;"",$G110&gt;=Assumptions!$C$17),"Tier 3 — micro-conversion tests only","Tier 3"))))</f>
        <v/>
      </c>
      <c r="P110" s="16" t="str">
        <f aca="false">IF(O110="","",IF(LEFT(O110,6)="Tier 1","Pursue — offer trial; 2-week tests on purchase metrics",IF(LEFT(O110,6)="Tier 2","Qualify — trial on top-traffic pages only; bold tests (≥10% lift)",IF(O110="Tier 3","Don't trial A/B — nurture or sell non-testing services","Trial only if tests are scored on CTA clicks / leads, not purchases"))))</f>
        <v/>
      </c>
    </row>
    <row r="111" customFormat="false" ht="15" hidden="false" customHeight="false" outlineLevel="0" collapsed="false">
      <c r="A111" s="13"/>
      <c r="B111" s="13"/>
      <c r="C111" s="14"/>
      <c r="D111" s="14"/>
      <c r="E111" s="15"/>
      <c r="F111" s="15"/>
      <c r="G111" s="14"/>
      <c r="H111" s="13"/>
      <c r="I111" s="16" t="str">
        <f aca="false">IF($C111&lt;&gt;"","Actual orders",IF($D111&lt;&gt;"","Est. from traffic",IF($E111&lt;&gt;"","Est. from revenue","")))</f>
        <v/>
      </c>
      <c r="J111" s="17" t="str">
        <f aca="false">IF($C111&lt;&gt;"",$C111,IF($D111&lt;&gt;"",$D111*IFERROR(INDEX(Assumptions!$C$31:$C$42,MATCH($B111,Assumptions!$B$31:$B$42,0)),Assumptions!$C$19),IF($E111&lt;&gt;"",$E111*1000000/12/IF($F111&lt;&gt;"",$F111,IFERROR(INDEX(Assumptions!$D$31:$D$42,MATCH($B111,Assumptions!$B$31:$B$42,0)),Assumptions!$C$20)),"")))</f>
        <v/>
      </c>
      <c r="K111" s="17" t="str">
        <f aca="false">IF($J111="","",$J111/Assumptions!$C$27)</f>
        <v/>
      </c>
      <c r="L111" s="18" t="str">
        <f aca="false">IF($K111="","",MAX(Assumptions!$C$9*Assumptions!$C$25/($K111*Assumptions!$C$10),0))</f>
        <v/>
      </c>
      <c r="M111" s="18" t="str">
        <f aca="false">IF($K111="","",MAX(Assumptions!$C$9*Assumptions!$C$26/($K111*Assumptions!$C$10),0))</f>
        <v/>
      </c>
      <c r="N111" s="19" t="str">
        <f aca="false">IF($K111="","",MIN(Assumptions!$C$14,52/MAX(Assumptions!$C$9*Assumptions!$C$25/($K111*Assumptions!$C$10),Assumptions!$C$13)))</f>
        <v/>
      </c>
      <c r="O111" s="20" t="str">
        <f aca="false">IF($K111="","",IF($K111&gt;=Assumptions!$C$16,"Tier 1",IF($K111&gt;=Assumptions!$C$17,"Tier 2",IF(AND($G111&lt;&gt;"",$G111&gt;=Assumptions!$C$17),"Tier 3 — micro-conversion tests only","Tier 3"))))</f>
        <v/>
      </c>
      <c r="P111" s="16" t="str">
        <f aca="false">IF(O111="","",IF(LEFT(O111,6)="Tier 1","Pursue — offer trial; 2-week tests on purchase metrics",IF(LEFT(O111,6)="Tier 2","Qualify — trial on top-traffic pages only; bold tests (≥10% lift)",IF(O111="Tier 3","Don't trial A/B — nurture or sell non-testing services","Trial only if tests are scored on CTA clicks / leads, not purchases"))))</f>
        <v/>
      </c>
    </row>
    <row r="112" customFormat="false" ht="15" hidden="false" customHeight="false" outlineLevel="0" collapsed="false">
      <c r="A112" s="13"/>
      <c r="B112" s="13"/>
      <c r="C112" s="14"/>
      <c r="D112" s="14"/>
      <c r="E112" s="15"/>
      <c r="F112" s="15"/>
      <c r="G112" s="14"/>
      <c r="H112" s="13"/>
      <c r="I112" s="16" t="str">
        <f aca="false">IF($C112&lt;&gt;"","Actual orders",IF($D112&lt;&gt;"","Est. from traffic",IF($E112&lt;&gt;"","Est. from revenue","")))</f>
        <v/>
      </c>
      <c r="J112" s="17" t="str">
        <f aca="false">IF($C112&lt;&gt;"",$C112,IF($D112&lt;&gt;"",$D112*IFERROR(INDEX(Assumptions!$C$31:$C$42,MATCH($B112,Assumptions!$B$31:$B$42,0)),Assumptions!$C$19),IF($E112&lt;&gt;"",$E112*1000000/12/IF($F112&lt;&gt;"",$F112,IFERROR(INDEX(Assumptions!$D$31:$D$42,MATCH($B112,Assumptions!$B$31:$B$42,0)),Assumptions!$C$20)),"")))</f>
        <v/>
      </c>
      <c r="K112" s="17" t="str">
        <f aca="false">IF($J112="","",$J112/Assumptions!$C$27)</f>
        <v/>
      </c>
      <c r="L112" s="18" t="str">
        <f aca="false">IF($K112="","",MAX(Assumptions!$C$9*Assumptions!$C$25/($K112*Assumptions!$C$10),0))</f>
        <v/>
      </c>
      <c r="M112" s="18" t="str">
        <f aca="false">IF($K112="","",MAX(Assumptions!$C$9*Assumptions!$C$26/($K112*Assumptions!$C$10),0))</f>
        <v/>
      </c>
      <c r="N112" s="19" t="str">
        <f aca="false">IF($K112="","",MIN(Assumptions!$C$14,52/MAX(Assumptions!$C$9*Assumptions!$C$25/($K112*Assumptions!$C$10),Assumptions!$C$13)))</f>
        <v/>
      </c>
      <c r="O112" s="20" t="str">
        <f aca="false">IF($K112="","",IF($K112&gt;=Assumptions!$C$16,"Tier 1",IF($K112&gt;=Assumptions!$C$17,"Tier 2",IF(AND($G112&lt;&gt;"",$G112&gt;=Assumptions!$C$17),"Tier 3 — micro-conversion tests only","Tier 3"))))</f>
        <v/>
      </c>
      <c r="P112" s="16" t="str">
        <f aca="false">IF(O112="","",IF(LEFT(O112,6)="Tier 1","Pursue — offer trial; 2-week tests on purchase metrics",IF(LEFT(O112,6)="Tier 2","Qualify — trial on top-traffic pages only; bold tests (≥10% lift)",IF(O112="Tier 3","Don't trial A/B — nurture or sell non-testing services","Trial only if tests are scored on CTA clicks / leads, not purchases"))))</f>
        <v/>
      </c>
    </row>
    <row r="113" customFormat="false" ht="15" hidden="false" customHeight="false" outlineLevel="0" collapsed="false">
      <c r="A113" s="13"/>
      <c r="B113" s="13"/>
      <c r="C113" s="14"/>
      <c r="D113" s="14"/>
      <c r="E113" s="15"/>
      <c r="F113" s="15"/>
      <c r="G113" s="14"/>
      <c r="H113" s="13"/>
      <c r="I113" s="16" t="str">
        <f aca="false">IF($C113&lt;&gt;"","Actual orders",IF($D113&lt;&gt;"","Est. from traffic",IF($E113&lt;&gt;"","Est. from revenue","")))</f>
        <v/>
      </c>
      <c r="J113" s="17" t="str">
        <f aca="false">IF($C113&lt;&gt;"",$C113,IF($D113&lt;&gt;"",$D113*IFERROR(INDEX(Assumptions!$C$31:$C$42,MATCH($B113,Assumptions!$B$31:$B$42,0)),Assumptions!$C$19),IF($E113&lt;&gt;"",$E113*1000000/12/IF($F113&lt;&gt;"",$F113,IFERROR(INDEX(Assumptions!$D$31:$D$42,MATCH($B113,Assumptions!$B$31:$B$42,0)),Assumptions!$C$20)),"")))</f>
        <v/>
      </c>
      <c r="K113" s="17" t="str">
        <f aca="false">IF($J113="","",$J113/Assumptions!$C$27)</f>
        <v/>
      </c>
      <c r="L113" s="18" t="str">
        <f aca="false">IF($K113="","",MAX(Assumptions!$C$9*Assumptions!$C$25/($K113*Assumptions!$C$10),0))</f>
        <v/>
      </c>
      <c r="M113" s="18" t="str">
        <f aca="false">IF($K113="","",MAX(Assumptions!$C$9*Assumptions!$C$26/($K113*Assumptions!$C$10),0))</f>
        <v/>
      </c>
      <c r="N113" s="19" t="str">
        <f aca="false">IF($K113="","",MIN(Assumptions!$C$14,52/MAX(Assumptions!$C$9*Assumptions!$C$25/($K113*Assumptions!$C$10),Assumptions!$C$13)))</f>
        <v/>
      </c>
      <c r="O113" s="20" t="str">
        <f aca="false">IF($K113="","",IF($K113&gt;=Assumptions!$C$16,"Tier 1",IF($K113&gt;=Assumptions!$C$17,"Tier 2",IF(AND($G113&lt;&gt;"",$G113&gt;=Assumptions!$C$17),"Tier 3 — micro-conversion tests only","Tier 3"))))</f>
        <v/>
      </c>
      <c r="P113" s="16" t="str">
        <f aca="false">IF(O113="","",IF(LEFT(O113,6)="Tier 1","Pursue — offer trial; 2-week tests on purchase metrics",IF(LEFT(O113,6)="Tier 2","Qualify — trial on top-traffic pages only; bold tests (≥10% lift)",IF(O113="Tier 3","Don't trial A/B — nurture or sell non-testing services","Trial only if tests are scored on CTA clicks / leads, not purchases"))))</f>
        <v/>
      </c>
    </row>
    <row r="114" customFormat="false" ht="15" hidden="false" customHeight="false" outlineLevel="0" collapsed="false">
      <c r="A114" s="13"/>
      <c r="B114" s="13"/>
      <c r="C114" s="14"/>
      <c r="D114" s="14"/>
      <c r="E114" s="15"/>
      <c r="F114" s="15"/>
      <c r="G114" s="14"/>
      <c r="H114" s="13"/>
      <c r="I114" s="16" t="str">
        <f aca="false">IF($C114&lt;&gt;"","Actual orders",IF($D114&lt;&gt;"","Est. from traffic",IF($E114&lt;&gt;"","Est. from revenue","")))</f>
        <v/>
      </c>
      <c r="J114" s="17" t="str">
        <f aca="false">IF($C114&lt;&gt;"",$C114,IF($D114&lt;&gt;"",$D114*IFERROR(INDEX(Assumptions!$C$31:$C$42,MATCH($B114,Assumptions!$B$31:$B$42,0)),Assumptions!$C$19),IF($E114&lt;&gt;"",$E114*1000000/12/IF($F114&lt;&gt;"",$F114,IFERROR(INDEX(Assumptions!$D$31:$D$42,MATCH($B114,Assumptions!$B$31:$B$42,0)),Assumptions!$C$20)),"")))</f>
        <v/>
      </c>
      <c r="K114" s="17" t="str">
        <f aca="false">IF($J114="","",$J114/Assumptions!$C$27)</f>
        <v/>
      </c>
      <c r="L114" s="18" t="str">
        <f aca="false">IF($K114="","",MAX(Assumptions!$C$9*Assumptions!$C$25/($K114*Assumptions!$C$10),0))</f>
        <v/>
      </c>
      <c r="M114" s="18" t="str">
        <f aca="false">IF($K114="","",MAX(Assumptions!$C$9*Assumptions!$C$26/($K114*Assumptions!$C$10),0))</f>
        <v/>
      </c>
      <c r="N114" s="19" t="str">
        <f aca="false">IF($K114="","",MIN(Assumptions!$C$14,52/MAX(Assumptions!$C$9*Assumptions!$C$25/($K114*Assumptions!$C$10),Assumptions!$C$13)))</f>
        <v/>
      </c>
      <c r="O114" s="20" t="str">
        <f aca="false">IF($K114="","",IF($K114&gt;=Assumptions!$C$16,"Tier 1",IF($K114&gt;=Assumptions!$C$17,"Tier 2",IF(AND($G114&lt;&gt;"",$G114&gt;=Assumptions!$C$17),"Tier 3 — micro-conversion tests only","Tier 3"))))</f>
        <v/>
      </c>
      <c r="P114" s="16" t="str">
        <f aca="false">IF(O114="","",IF(LEFT(O114,6)="Tier 1","Pursue — offer trial; 2-week tests on purchase metrics",IF(LEFT(O114,6)="Tier 2","Qualify — trial on top-traffic pages only; bold tests (≥10% lift)",IF(O114="Tier 3","Don't trial A/B — nurture or sell non-testing services","Trial only if tests are scored on CTA clicks / leads, not purchases"))))</f>
        <v/>
      </c>
    </row>
    <row r="115" customFormat="false" ht="15" hidden="false" customHeight="false" outlineLevel="0" collapsed="false">
      <c r="A115" s="13"/>
      <c r="B115" s="13"/>
      <c r="C115" s="14"/>
      <c r="D115" s="14"/>
      <c r="E115" s="15"/>
      <c r="F115" s="15"/>
      <c r="G115" s="14"/>
      <c r="H115" s="13"/>
      <c r="I115" s="16" t="str">
        <f aca="false">IF($C115&lt;&gt;"","Actual orders",IF($D115&lt;&gt;"","Est. from traffic",IF($E115&lt;&gt;"","Est. from revenue","")))</f>
        <v/>
      </c>
      <c r="J115" s="17" t="str">
        <f aca="false">IF($C115&lt;&gt;"",$C115,IF($D115&lt;&gt;"",$D115*IFERROR(INDEX(Assumptions!$C$31:$C$42,MATCH($B115,Assumptions!$B$31:$B$42,0)),Assumptions!$C$19),IF($E115&lt;&gt;"",$E115*1000000/12/IF($F115&lt;&gt;"",$F115,IFERROR(INDEX(Assumptions!$D$31:$D$42,MATCH($B115,Assumptions!$B$31:$B$42,0)),Assumptions!$C$20)),"")))</f>
        <v/>
      </c>
      <c r="K115" s="17" t="str">
        <f aca="false">IF($J115="","",$J115/Assumptions!$C$27)</f>
        <v/>
      </c>
      <c r="L115" s="18" t="str">
        <f aca="false">IF($K115="","",MAX(Assumptions!$C$9*Assumptions!$C$25/($K115*Assumptions!$C$10),0))</f>
        <v/>
      </c>
      <c r="M115" s="18" t="str">
        <f aca="false">IF($K115="","",MAX(Assumptions!$C$9*Assumptions!$C$26/($K115*Assumptions!$C$10),0))</f>
        <v/>
      </c>
      <c r="N115" s="19" t="str">
        <f aca="false">IF($K115="","",MIN(Assumptions!$C$14,52/MAX(Assumptions!$C$9*Assumptions!$C$25/($K115*Assumptions!$C$10),Assumptions!$C$13)))</f>
        <v/>
      </c>
      <c r="O115" s="20" t="str">
        <f aca="false">IF($K115="","",IF($K115&gt;=Assumptions!$C$16,"Tier 1",IF($K115&gt;=Assumptions!$C$17,"Tier 2",IF(AND($G115&lt;&gt;"",$G115&gt;=Assumptions!$C$17),"Tier 3 — micro-conversion tests only","Tier 3"))))</f>
        <v/>
      </c>
      <c r="P115" s="16" t="str">
        <f aca="false">IF(O115="","",IF(LEFT(O115,6)="Tier 1","Pursue — offer trial; 2-week tests on purchase metrics",IF(LEFT(O115,6)="Tier 2","Qualify — trial on top-traffic pages only; bold tests (≥10% lift)",IF(O115="Tier 3","Don't trial A/B — nurture or sell non-testing services","Trial only if tests are scored on CTA clicks / leads, not purchases"))))</f>
        <v/>
      </c>
    </row>
    <row r="116" customFormat="false" ht="15" hidden="false" customHeight="false" outlineLevel="0" collapsed="false">
      <c r="A116" s="13"/>
      <c r="B116" s="13"/>
      <c r="C116" s="14"/>
      <c r="D116" s="14"/>
      <c r="E116" s="15"/>
      <c r="F116" s="15"/>
      <c r="G116" s="14"/>
      <c r="H116" s="13"/>
      <c r="I116" s="16" t="str">
        <f aca="false">IF($C116&lt;&gt;"","Actual orders",IF($D116&lt;&gt;"","Est. from traffic",IF($E116&lt;&gt;"","Est. from revenue","")))</f>
        <v/>
      </c>
      <c r="J116" s="17" t="str">
        <f aca="false">IF($C116&lt;&gt;"",$C116,IF($D116&lt;&gt;"",$D116*IFERROR(INDEX(Assumptions!$C$31:$C$42,MATCH($B116,Assumptions!$B$31:$B$42,0)),Assumptions!$C$19),IF($E116&lt;&gt;"",$E116*1000000/12/IF($F116&lt;&gt;"",$F116,IFERROR(INDEX(Assumptions!$D$31:$D$42,MATCH($B116,Assumptions!$B$31:$B$42,0)),Assumptions!$C$20)),"")))</f>
        <v/>
      </c>
      <c r="K116" s="17" t="str">
        <f aca="false">IF($J116="","",$J116/Assumptions!$C$27)</f>
        <v/>
      </c>
      <c r="L116" s="18" t="str">
        <f aca="false">IF($K116="","",MAX(Assumptions!$C$9*Assumptions!$C$25/($K116*Assumptions!$C$10),0))</f>
        <v/>
      </c>
      <c r="M116" s="18" t="str">
        <f aca="false">IF($K116="","",MAX(Assumptions!$C$9*Assumptions!$C$26/($K116*Assumptions!$C$10),0))</f>
        <v/>
      </c>
      <c r="N116" s="19" t="str">
        <f aca="false">IF($K116="","",MIN(Assumptions!$C$14,52/MAX(Assumptions!$C$9*Assumptions!$C$25/($K116*Assumptions!$C$10),Assumptions!$C$13)))</f>
        <v/>
      </c>
      <c r="O116" s="20" t="str">
        <f aca="false">IF($K116="","",IF($K116&gt;=Assumptions!$C$16,"Tier 1",IF($K116&gt;=Assumptions!$C$17,"Tier 2",IF(AND($G116&lt;&gt;"",$G116&gt;=Assumptions!$C$17),"Tier 3 — micro-conversion tests only","Tier 3"))))</f>
        <v/>
      </c>
      <c r="P116" s="16" t="str">
        <f aca="false">IF(O116="","",IF(LEFT(O116,6)="Tier 1","Pursue — offer trial; 2-week tests on purchase metrics",IF(LEFT(O116,6)="Tier 2","Qualify — trial on top-traffic pages only; bold tests (≥10% lift)",IF(O116="Tier 3","Don't trial A/B — nurture or sell non-testing services","Trial only if tests are scored on CTA clicks / leads, not purchases"))))</f>
        <v/>
      </c>
    </row>
    <row r="117" customFormat="false" ht="15" hidden="false" customHeight="false" outlineLevel="0" collapsed="false">
      <c r="A117" s="13"/>
      <c r="B117" s="13"/>
      <c r="C117" s="14"/>
      <c r="D117" s="14"/>
      <c r="E117" s="15"/>
      <c r="F117" s="15"/>
      <c r="G117" s="14"/>
      <c r="H117" s="13"/>
      <c r="I117" s="16" t="str">
        <f aca="false">IF($C117&lt;&gt;"","Actual orders",IF($D117&lt;&gt;"","Est. from traffic",IF($E117&lt;&gt;"","Est. from revenue","")))</f>
        <v/>
      </c>
      <c r="J117" s="17" t="str">
        <f aca="false">IF($C117&lt;&gt;"",$C117,IF($D117&lt;&gt;"",$D117*IFERROR(INDEX(Assumptions!$C$31:$C$42,MATCH($B117,Assumptions!$B$31:$B$42,0)),Assumptions!$C$19),IF($E117&lt;&gt;"",$E117*1000000/12/IF($F117&lt;&gt;"",$F117,IFERROR(INDEX(Assumptions!$D$31:$D$42,MATCH($B117,Assumptions!$B$31:$B$42,0)),Assumptions!$C$20)),"")))</f>
        <v/>
      </c>
      <c r="K117" s="17" t="str">
        <f aca="false">IF($J117="","",$J117/Assumptions!$C$27)</f>
        <v/>
      </c>
      <c r="L117" s="18" t="str">
        <f aca="false">IF($K117="","",MAX(Assumptions!$C$9*Assumptions!$C$25/($K117*Assumptions!$C$10),0))</f>
        <v/>
      </c>
      <c r="M117" s="18" t="str">
        <f aca="false">IF($K117="","",MAX(Assumptions!$C$9*Assumptions!$C$26/($K117*Assumptions!$C$10),0))</f>
        <v/>
      </c>
      <c r="N117" s="19" t="str">
        <f aca="false">IF($K117="","",MIN(Assumptions!$C$14,52/MAX(Assumptions!$C$9*Assumptions!$C$25/($K117*Assumptions!$C$10),Assumptions!$C$13)))</f>
        <v/>
      </c>
      <c r="O117" s="20" t="str">
        <f aca="false">IF($K117="","",IF($K117&gt;=Assumptions!$C$16,"Tier 1",IF($K117&gt;=Assumptions!$C$17,"Tier 2",IF(AND($G117&lt;&gt;"",$G117&gt;=Assumptions!$C$17),"Tier 3 — micro-conversion tests only","Tier 3"))))</f>
        <v/>
      </c>
      <c r="P117" s="16" t="str">
        <f aca="false">IF(O117="","",IF(LEFT(O117,6)="Tier 1","Pursue — offer trial; 2-week tests on purchase metrics",IF(LEFT(O117,6)="Tier 2","Qualify — trial on top-traffic pages only; bold tests (≥10% lift)",IF(O117="Tier 3","Don't trial A/B — nurture or sell non-testing services","Trial only if tests are scored on CTA clicks / leads, not purchases"))))</f>
        <v/>
      </c>
    </row>
    <row r="118" customFormat="false" ht="15" hidden="false" customHeight="false" outlineLevel="0" collapsed="false">
      <c r="A118" s="13"/>
      <c r="B118" s="13"/>
      <c r="C118" s="14"/>
      <c r="D118" s="14"/>
      <c r="E118" s="15"/>
      <c r="F118" s="15"/>
      <c r="G118" s="14"/>
      <c r="H118" s="13"/>
      <c r="I118" s="16" t="str">
        <f aca="false">IF($C118&lt;&gt;"","Actual orders",IF($D118&lt;&gt;"","Est. from traffic",IF($E118&lt;&gt;"","Est. from revenue","")))</f>
        <v/>
      </c>
      <c r="J118" s="17" t="str">
        <f aca="false">IF($C118&lt;&gt;"",$C118,IF($D118&lt;&gt;"",$D118*IFERROR(INDEX(Assumptions!$C$31:$C$42,MATCH($B118,Assumptions!$B$31:$B$42,0)),Assumptions!$C$19),IF($E118&lt;&gt;"",$E118*1000000/12/IF($F118&lt;&gt;"",$F118,IFERROR(INDEX(Assumptions!$D$31:$D$42,MATCH($B118,Assumptions!$B$31:$B$42,0)),Assumptions!$C$20)),"")))</f>
        <v/>
      </c>
      <c r="K118" s="17" t="str">
        <f aca="false">IF($J118="","",$J118/Assumptions!$C$27)</f>
        <v/>
      </c>
      <c r="L118" s="18" t="str">
        <f aca="false">IF($K118="","",MAX(Assumptions!$C$9*Assumptions!$C$25/($K118*Assumptions!$C$10),0))</f>
        <v/>
      </c>
      <c r="M118" s="18" t="str">
        <f aca="false">IF($K118="","",MAX(Assumptions!$C$9*Assumptions!$C$26/($K118*Assumptions!$C$10),0))</f>
        <v/>
      </c>
      <c r="N118" s="19" t="str">
        <f aca="false">IF($K118="","",MIN(Assumptions!$C$14,52/MAX(Assumptions!$C$9*Assumptions!$C$25/($K118*Assumptions!$C$10),Assumptions!$C$13)))</f>
        <v/>
      </c>
      <c r="O118" s="20" t="str">
        <f aca="false">IF($K118="","",IF($K118&gt;=Assumptions!$C$16,"Tier 1",IF($K118&gt;=Assumptions!$C$17,"Tier 2",IF(AND($G118&lt;&gt;"",$G118&gt;=Assumptions!$C$17),"Tier 3 — micro-conversion tests only","Tier 3"))))</f>
        <v/>
      </c>
      <c r="P118" s="16" t="str">
        <f aca="false">IF(O118="","",IF(LEFT(O118,6)="Tier 1","Pursue — offer trial; 2-week tests on purchase metrics",IF(LEFT(O118,6)="Tier 2","Qualify — trial on top-traffic pages only; bold tests (≥10% lift)",IF(O118="Tier 3","Don't trial A/B — nurture or sell non-testing services","Trial only if tests are scored on CTA clicks / leads, not purchases"))))</f>
        <v/>
      </c>
    </row>
    <row r="119" customFormat="false" ht="15" hidden="false" customHeight="false" outlineLevel="0" collapsed="false">
      <c r="A119" s="13"/>
      <c r="B119" s="13"/>
      <c r="C119" s="14"/>
      <c r="D119" s="14"/>
      <c r="E119" s="15"/>
      <c r="F119" s="15"/>
      <c r="G119" s="14"/>
      <c r="H119" s="13"/>
      <c r="I119" s="16" t="str">
        <f aca="false">IF($C119&lt;&gt;"","Actual orders",IF($D119&lt;&gt;"","Est. from traffic",IF($E119&lt;&gt;"","Est. from revenue","")))</f>
        <v/>
      </c>
      <c r="J119" s="17" t="str">
        <f aca="false">IF($C119&lt;&gt;"",$C119,IF($D119&lt;&gt;"",$D119*IFERROR(INDEX(Assumptions!$C$31:$C$42,MATCH($B119,Assumptions!$B$31:$B$42,0)),Assumptions!$C$19),IF($E119&lt;&gt;"",$E119*1000000/12/IF($F119&lt;&gt;"",$F119,IFERROR(INDEX(Assumptions!$D$31:$D$42,MATCH($B119,Assumptions!$B$31:$B$42,0)),Assumptions!$C$20)),"")))</f>
        <v/>
      </c>
      <c r="K119" s="17" t="str">
        <f aca="false">IF($J119="","",$J119/Assumptions!$C$27)</f>
        <v/>
      </c>
      <c r="L119" s="18" t="str">
        <f aca="false">IF($K119="","",MAX(Assumptions!$C$9*Assumptions!$C$25/($K119*Assumptions!$C$10),0))</f>
        <v/>
      </c>
      <c r="M119" s="18" t="str">
        <f aca="false">IF($K119="","",MAX(Assumptions!$C$9*Assumptions!$C$26/($K119*Assumptions!$C$10),0))</f>
        <v/>
      </c>
      <c r="N119" s="19" t="str">
        <f aca="false">IF($K119="","",MIN(Assumptions!$C$14,52/MAX(Assumptions!$C$9*Assumptions!$C$25/($K119*Assumptions!$C$10),Assumptions!$C$13)))</f>
        <v/>
      </c>
      <c r="O119" s="20" t="str">
        <f aca="false">IF($K119="","",IF($K119&gt;=Assumptions!$C$16,"Tier 1",IF($K119&gt;=Assumptions!$C$17,"Tier 2",IF(AND($G119&lt;&gt;"",$G119&gt;=Assumptions!$C$17),"Tier 3 — micro-conversion tests only","Tier 3"))))</f>
        <v/>
      </c>
      <c r="P119" s="16" t="str">
        <f aca="false">IF(O119="","",IF(LEFT(O119,6)="Tier 1","Pursue — offer trial; 2-week tests on purchase metrics",IF(LEFT(O119,6)="Tier 2","Qualify — trial on top-traffic pages only; bold tests (≥10% lift)",IF(O119="Tier 3","Don't trial A/B — nurture or sell non-testing services","Trial only if tests are scored on CTA clicks / leads, not purchases"))))</f>
        <v/>
      </c>
    </row>
    <row r="120" customFormat="false" ht="15" hidden="false" customHeight="false" outlineLevel="0" collapsed="false">
      <c r="A120" s="13"/>
      <c r="B120" s="13"/>
      <c r="C120" s="14"/>
      <c r="D120" s="14"/>
      <c r="E120" s="15"/>
      <c r="F120" s="15"/>
      <c r="G120" s="14"/>
      <c r="H120" s="13"/>
      <c r="I120" s="16" t="str">
        <f aca="false">IF($C120&lt;&gt;"","Actual orders",IF($D120&lt;&gt;"","Est. from traffic",IF($E120&lt;&gt;"","Est. from revenue","")))</f>
        <v/>
      </c>
      <c r="J120" s="17" t="str">
        <f aca="false">IF($C120&lt;&gt;"",$C120,IF($D120&lt;&gt;"",$D120*IFERROR(INDEX(Assumptions!$C$31:$C$42,MATCH($B120,Assumptions!$B$31:$B$42,0)),Assumptions!$C$19),IF($E120&lt;&gt;"",$E120*1000000/12/IF($F120&lt;&gt;"",$F120,IFERROR(INDEX(Assumptions!$D$31:$D$42,MATCH($B120,Assumptions!$B$31:$B$42,0)),Assumptions!$C$20)),"")))</f>
        <v/>
      </c>
      <c r="K120" s="17" t="str">
        <f aca="false">IF($J120="","",$J120/Assumptions!$C$27)</f>
        <v/>
      </c>
      <c r="L120" s="18" t="str">
        <f aca="false">IF($K120="","",MAX(Assumptions!$C$9*Assumptions!$C$25/($K120*Assumptions!$C$10),0))</f>
        <v/>
      </c>
      <c r="M120" s="18" t="str">
        <f aca="false">IF($K120="","",MAX(Assumptions!$C$9*Assumptions!$C$26/($K120*Assumptions!$C$10),0))</f>
        <v/>
      </c>
      <c r="N120" s="19" t="str">
        <f aca="false">IF($K120="","",MIN(Assumptions!$C$14,52/MAX(Assumptions!$C$9*Assumptions!$C$25/($K120*Assumptions!$C$10),Assumptions!$C$13)))</f>
        <v/>
      </c>
      <c r="O120" s="20" t="str">
        <f aca="false">IF($K120="","",IF($K120&gt;=Assumptions!$C$16,"Tier 1",IF($K120&gt;=Assumptions!$C$17,"Tier 2",IF(AND($G120&lt;&gt;"",$G120&gt;=Assumptions!$C$17),"Tier 3 — micro-conversion tests only","Tier 3"))))</f>
        <v/>
      </c>
      <c r="P120" s="16" t="str">
        <f aca="false">IF(O120="","",IF(LEFT(O120,6)="Tier 1","Pursue — offer trial; 2-week tests on purchase metrics",IF(LEFT(O120,6)="Tier 2","Qualify — trial on top-traffic pages only; bold tests (≥10% lift)",IF(O120="Tier 3","Don't trial A/B — nurture or sell non-testing services","Trial only if tests are scored on CTA clicks / leads, not purchases"))))</f>
        <v/>
      </c>
    </row>
    <row r="121" customFormat="false" ht="15" hidden="false" customHeight="false" outlineLevel="0" collapsed="false">
      <c r="A121" s="13"/>
      <c r="B121" s="13"/>
      <c r="C121" s="14"/>
      <c r="D121" s="14"/>
      <c r="E121" s="15"/>
      <c r="F121" s="15"/>
      <c r="G121" s="14"/>
      <c r="H121" s="13"/>
      <c r="I121" s="16" t="str">
        <f aca="false">IF($C121&lt;&gt;"","Actual orders",IF($D121&lt;&gt;"","Est. from traffic",IF($E121&lt;&gt;"","Est. from revenue","")))</f>
        <v/>
      </c>
      <c r="J121" s="17" t="str">
        <f aca="false">IF($C121&lt;&gt;"",$C121,IF($D121&lt;&gt;"",$D121*IFERROR(INDEX(Assumptions!$C$31:$C$42,MATCH($B121,Assumptions!$B$31:$B$42,0)),Assumptions!$C$19),IF($E121&lt;&gt;"",$E121*1000000/12/IF($F121&lt;&gt;"",$F121,IFERROR(INDEX(Assumptions!$D$31:$D$42,MATCH($B121,Assumptions!$B$31:$B$42,0)),Assumptions!$C$20)),"")))</f>
        <v/>
      </c>
      <c r="K121" s="17" t="str">
        <f aca="false">IF($J121="","",$J121/Assumptions!$C$27)</f>
        <v/>
      </c>
      <c r="L121" s="18" t="str">
        <f aca="false">IF($K121="","",MAX(Assumptions!$C$9*Assumptions!$C$25/($K121*Assumptions!$C$10),0))</f>
        <v/>
      </c>
      <c r="M121" s="18" t="str">
        <f aca="false">IF($K121="","",MAX(Assumptions!$C$9*Assumptions!$C$26/($K121*Assumptions!$C$10),0))</f>
        <v/>
      </c>
      <c r="N121" s="19" t="str">
        <f aca="false">IF($K121="","",MIN(Assumptions!$C$14,52/MAX(Assumptions!$C$9*Assumptions!$C$25/($K121*Assumptions!$C$10),Assumptions!$C$13)))</f>
        <v/>
      </c>
      <c r="O121" s="20" t="str">
        <f aca="false">IF($K121="","",IF($K121&gt;=Assumptions!$C$16,"Tier 1",IF($K121&gt;=Assumptions!$C$17,"Tier 2",IF(AND($G121&lt;&gt;"",$G121&gt;=Assumptions!$C$17),"Tier 3 — micro-conversion tests only","Tier 3"))))</f>
        <v/>
      </c>
      <c r="P121" s="16" t="str">
        <f aca="false">IF(O121="","",IF(LEFT(O121,6)="Tier 1","Pursue — offer trial; 2-week tests on purchase metrics",IF(LEFT(O121,6)="Tier 2","Qualify — trial on top-traffic pages only; bold tests (≥10% lift)",IF(O121="Tier 3","Don't trial A/B — nurture or sell non-testing services","Trial only if tests are scored on CTA clicks / leads, not purchases"))))</f>
        <v/>
      </c>
    </row>
    <row r="122" customFormat="false" ht="15" hidden="false" customHeight="false" outlineLevel="0" collapsed="false">
      <c r="A122" s="13"/>
      <c r="B122" s="13"/>
      <c r="C122" s="14"/>
      <c r="D122" s="14"/>
      <c r="E122" s="15"/>
      <c r="F122" s="15"/>
      <c r="G122" s="14"/>
      <c r="H122" s="13"/>
      <c r="I122" s="16" t="str">
        <f aca="false">IF($C122&lt;&gt;"","Actual orders",IF($D122&lt;&gt;"","Est. from traffic",IF($E122&lt;&gt;"","Est. from revenue","")))</f>
        <v/>
      </c>
      <c r="J122" s="17" t="str">
        <f aca="false">IF($C122&lt;&gt;"",$C122,IF($D122&lt;&gt;"",$D122*IFERROR(INDEX(Assumptions!$C$31:$C$42,MATCH($B122,Assumptions!$B$31:$B$42,0)),Assumptions!$C$19),IF($E122&lt;&gt;"",$E122*1000000/12/IF($F122&lt;&gt;"",$F122,IFERROR(INDEX(Assumptions!$D$31:$D$42,MATCH($B122,Assumptions!$B$31:$B$42,0)),Assumptions!$C$20)),"")))</f>
        <v/>
      </c>
      <c r="K122" s="17" t="str">
        <f aca="false">IF($J122="","",$J122/Assumptions!$C$27)</f>
        <v/>
      </c>
      <c r="L122" s="18" t="str">
        <f aca="false">IF($K122="","",MAX(Assumptions!$C$9*Assumptions!$C$25/($K122*Assumptions!$C$10),0))</f>
        <v/>
      </c>
      <c r="M122" s="18" t="str">
        <f aca="false">IF($K122="","",MAX(Assumptions!$C$9*Assumptions!$C$26/($K122*Assumptions!$C$10),0))</f>
        <v/>
      </c>
      <c r="N122" s="19" t="str">
        <f aca="false">IF($K122="","",MIN(Assumptions!$C$14,52/MAX(Assumptions!$C$9*Assumptions!$C$25/($K122*Assumptions!$C$10),Assumptions!$C$13)))</f>
        <v/>
      </c>
      <c r="O122" s="20" t="str">
        <f aca="false">IF($K122="","",IF($K122&gt;=Assumptions!$C$16,"Tier 1",IF($K122&gt;=Assumptions!$C$17,"Tier 2",IF(AND($G122&lt;&gt;"",$G122&gt;=Assumptions!$C$17),"Tier 3 — micro-conversion tests only","Tier 3"))))</f>
        <v/>
      </c>
      <c r="P122" s="16" t="str">
        <f aca="false">IF(O122="","",IF(LEFT(O122,6)="Tier 1","Pursue — offer trial; 2-week tests on purchase metrics",IF(LEFT(O122,6)="Tier 2","Qualify — trial on top-traffic pages only; bold tests (≥10% lift)",IF(O122="Tier 3","Don't trial A/B — nurture or sell non-testing services","Trial only if tests are scored on CTA clicks / leads, not purchases"))))</f>
        <v/>
      </c>
    </row>
    <row r="123" customFormat="false" ht="15" hidden="false" customHeight="false" outlineLevel="0" collapsed="false">
      <c r="A123" s="13"/>
      <c r="B123" s="13"/>
      <c r="C123" s="14"/>
      <c r="D123" s="14"/>
      <c r="E123" s="15"/>
      <c r="F123" s="15"/>
      <c r="G123" s="14"/>
      <c r="H123" s="13"/>
      <c r="I123" s="16" t="str">
        <f aca="false">IF($C123&lt;&gt;"","Actual orders",IF($D123&lt;&gt;"","Est. from traffic",IF($E123&lt;&gt;"","Est. from revenue","")))</f>
        <v/>
      </c>
      <c r="J123" s="17" t="str">
        <f aca="false">IF($C123&lt;&gt;"",$C123,IF($D123&lt;&gt;"",$D123*IFERROR(INDEX(Assumptions!$C$31:$C$42,MATCH($B123,Assumptions!$B$31:$B$42,0)),Assumptions!$C$19),IF($E123&lt;&gt;"",$E123*1000000/12/IF($F123&lt;&gt;"",$F123,IFERROR(INDEX(Assumptions!$D$31:$D$42,MATCH($B123,Assumptions!$B$31:$B$42,0)),Assumptions!$C$20)),"")))</f>
        <v/>
      </c>
      <c r="K123" s="17" t="str">
        <f aca="false">IF($J123="","",$J123/Assumptions!$C$27)</f>
        <v/>
      </c>
      <c r="L123" s="18" t="str">
        <f aca="false">IF($K123="","",MAX(Assumptions!$C$9*Assumptions!$C$25/($K123*Assumptions!$C$10),0))</f>
        <v/>
      </c>
      <c r="M123" s="18" t="str">
        <f aca="false">IF($K123="","",MAX(Assumptions!$C$9*Assumptions!$C$26/($K123*Assumptions!$C$10),0))</f>
        <v/>
      </c>
      <c r="N123" s="19" t="str">
        <f aca="false">IF($K123="","",MIN(Assumptions!$C$14,52/MAX(Assumptions!$C$9*Assumptions!$C$25/($K123*Assumptions!$C$10),Assumptions!$C$13)))</f>
        <v/>
      </c>
      <c r="O123" s="20" t="str">
        <f aca="false">IF($K123="","",IF($K123&gt;=Assumptions!$C$16,"Tier 1",IF($K123&gt;=Assumptions!$C$17,"Tier 2",IF(AND($G123&lt;&gt;"",$G123&gt;=Assumptions!$C$17),"Tier 3 — micro-conversion tests only","Tier 3"))))</f>
        <v/>
      </c>
      <c r="P123" s="16" t="str">
        <f aca="false">IF(O123="","",IF(LEFT(O123,6)="Tier 1","Pursue — offer trial; 2-week tests on purchase metrics",IF(LEFT(O123,6)="Tier 2","Qualify — trial on top-traffic pages only; bold tests (≥10% lift)",IF(O123="Tier 3","Don't trial A/B — nurture or sell non-testing services","Trial only if tests are scored on CTA clicks / leads, not purchases"))))</f>
        <v/>
      </c>
    </row>
    <row r="124" customFormat="false" ht="15" hidden="false" customHeight="false" outlineLevel="0" collapsed="false">
      <c r="A124" s="13"/>
      <c r="B124" s="13"/>
      <c r="C124" s="14"/>
      <c r="D124" s="14"/>
      <c r="E124" s="15"/>
      <c r="F124" s="15"/>
      <c r="G124" s="14"/>
      <c r="H124" s="13"/>
      <c r="I124" s="16" t="str">
        <f aca="false">IF($C124&lt;&gt;"","Actual orders",IF($D124&lt;&gt;"","Est. from traffic",IF($E124&lt;&gt;"","Est. from revenue","")))</f>
        <v/>
      </c>
      <c r="J124" s="17" t="str">
        <f aca="false">IF($C124&lt;&gt;"",$C124,IF($D124&lt;&gt;"",$D124*IFERROR(INDEX(Assumptions!$C$31:$C$42,MATCH($B124,Assumptions!$B$31:$B$42,0)),Assumptions!$C$19),IF($E124&lt;&gt;"",$E124*1000000/12/IF($F124&lt;&gt;"",$F124,IFERROR(INDEX(Assumptions!$D$31:$D$42,MATCH($B124,Assumptions!$B$31:$B$42,0)),Assumptions!$C$20)),"")))</f>
        <v/>
      </c>
      <c r="K124" s="17" t="str">
        <f aca="false">IF($J124="","",$J124/Assumptions!$C$27)</f>
        <v/>
      </c>
      <c r="L124" s="18" t="str">
        <f aca="false">IF($K124="","",MAX(Assumptions!$C$9*Assumptions!$C$25/($K124*Assumptions!$C$10),0))</f>
        <v/>
      </c>
      <c r="M124" s="18" t="str">
        <f aca="false">IF($K124="","",MAX(Assumptions!$C$9*Assumptions!$C$26/($K124*Assumptions!$C$10),0))</f>
        <v/>
      </c>
      <c r="N124" s="19" t="str">
        <f aca="false">IF($K124="","",MIN(Assumptions!$C$14,52/MAX(Assumptions!$C$9*Assumptions!$C$25/($K124*Assumptions!$C$10),Assumptions!$C$13)))</f>
        <v/>
      </c>
      <c r="O124" s="20" t="str">
        <f aca="false">IF($K124="","",IF($K124&gt;=Assumptions!$C$16,"Tier 1",IF($K124&gt;=Assumptions!$C$17,"Tier 2",IF(AND($G124&lt;&gt;"",$G124&gt;=Assumptions!$C$17),"Tier 3 — micro-conversion tests only","Tier 3"))))</f>
        <v/>
      </c>
      <c r="P124" s="16" t="str">
        <f aca="false">IF(O124="","",IF(LEFT(O124,6)="Tier 1","Pursue — offer trial; 2-week tests on purchase metrics",IF(LEFT(O124,6)="Tier 2","Qualify — trial on top-traffic pages only; bold tests (≥10% lift)",IF(O124="Tier 3","Don't trial A/B — nurture or sell non-testing services","Trial only if tests are scored on CTA clicks / leads, not purchases"))))</f>
        <v/>
      </c>
    </row>
    <row r="125" customFormat="false" ht="15" hidden="false" customHeight="false" outlineLevel="0" collapsed="false">
      <c r="A125" s="13"/>
      <c r="B125" s="13"/>
      <c r="C125" s="14"/>
      <c r="D125" s="14"/>
      <c r="E125" s="15"/>
      <c r="F125" s="15"/>
      <c r="G125" s="14"/>
      <c r="H125" s="13"/>
      <c r="I125" s="16" t="str">
        <f aca="false">IF($C125&lt;&gt;"","Actual orders",IF($D125&lt;&gt;"","Est. from traffic",IF($E125&lt;&gt;"","Est. from revenue","")))</f>
        <v/>
      </c>
      <c r="J125" s="17" t="str">
        <f aca="false">IF($C125&lt;&gt;"",$C125,IF($D125&lt;&gt;"",$D125*IFERROR(INDEX(Assumptions!$C$31:$C$42,MATCH($B125,Assumptions!$B$31:$B$42,0)),Assumptions!$C$19),IF($E125&lt;&gt;"",$E125*1000000/12/IF($F125&lt;&gt;"",$F125,IFERROR(INDEX(Assumptions!$D$31:$D$42,MATCH($B125,Assumptions!$B$31:$B$42,0)),Assumptions!$C$20)),"")))</f>
        <v/>
      </c>
      <c r="K125" s="17" t="str">
        <f aca="false">IF($J125="","",$J125/Assumptions!$C$27)</f>
        <v/>
      </c>
      <c r="L125" s="18" t="str">
        <f aca="false">IF($K125="","",MAX(Assumptions!$C$9*Assumptions!$C$25/($K125*Assumptions!$C$10),0))</f>
        <v/>
      </c>
      <c r="M125" s="18" t="str">
        <f aca="false">IF($K125="","",MAX(Assumptions!$C$9*Assumptions!$C$26/($K125*Assumptions!$C$10),0))</f>
        <v/>
      </c>
      <c r="N125" s="19" t="str">
        <f aca="false">IF($K125="","",MIN(Assumptions!$C$14,52/MAX(Assumptions!$C$9*Assumptions!$C$25/($K125*Assumptions!$C$10),Assumptions!$C$13)))</f>
        <v/>
      </c>
      <c r="O125" s="20" t="str">
        <f aca="false">IF($K125="","",IF($K125&gt;=Assumptions!$C$16,"Tier 1",IF($K125&gt;=Assumptions!$C$17,"Tier 2",IF(AND($G125&lt;&gt;"",$G125&gt;=Assumptions!$C$17),"Tier 3 — micro-conversion tests only","Tier 3"))))</f>
        <v/>
      </c>
      <c r="P125" s="16" t="str">
        <f aca="false">IF(O125="","",IF(LEFT(O125,6)="Tier 1","Pursue — offer trial; 2-week tests on purchase metrics",IF(LEFT(O125,6)="Tier 2","Qualify — trial on top-traffic pages only; bold tests (≥10% lift)",IF(O125="Tier 3","Don't trial A/B — nurture or sell non-testing services","Trial only if tests are scored on CTA clicks / leads, not purchases"))))</f>
        <v/>
      </c>
    </row>
    <row r="126" customFormat="false" ht="15" hidden="false" customHeight="false" outlineLevel="0" collapsed="false">
      <c r="A126" s="13"/>
      <c r="B126" s="13"/>
      <c r="C126" s="14"/>
      <c r="D126" s="14"/>
      <c r="E126" s="15"/>
      <c r="F126" s="15"/>
      <c r="G126" s="14"/>
      <c r="H126" s="13"/>
      <c r="I126" s="16" t="str">
        <f aca="false">IF($C126&lt;&gt;"","Actual orders",IF($D126&lt;&gt;"","Est. from traffic",IF($E126&lt;&gt;"","Est. from revenue","")))</f>
        <v/>
      </c>
      <c r="J126" s="17" t="str">
        <f aca="false">IF($C126&lt;&gt;"",$C126,IF($D126&lt;&gt;"",$D126*IFERROR(INDEX(Assumptions!$C$31:$C$42,MATCH($B126,Assumptions!$B$31:$B$42,0)),Assumptions!$C$19),IF($E126&lt;&gt;"",$E126*1000000/12/IF($F126&lt;&gt;"",$F126,IFERROR(INDEX(Assumptions!$D$31:$D$42,MATCH($B126,Assumptions!$B$31:$B$42,0)),Assumptions!$C$20)),"")))</f>
        <v/>
      </c>
      <c r="K126" s="17" t="str">
        <f aca="false">IF($J126="","",$J126/Assumptions!$C$27)</f>
        <v/>
      </c>
      <c r="L126" s="18" t="str">
        <f aca="false">IF($K126="","",MAX(Assumptions!$C$9*Assumptions!$C$25/($K126*Assumptions!$C$10),0))</f>
        <v/>
      </c>
      <c r="M126" s="18" t="str">
        <f aca="false">IF($K126="","",MAX(Assumptions!$C$9*Assumptions!$C$26/($K126*Assumptions!$C$10),0))</f>
        <v/>
      </c>
      <c r="N126" s="19" t="str">
        <f aca="false">IF($K126="","",MIN(Assumptions!$C$14,52/MAX(Assumptions!$C$9*Assumptions!$C$25/($K126*Assumptions!$C$10),Assumptions!$C$13)))</f>
        <v/>
      </c>
      <c r="O126" s="20" t="str">
        <f aca="false">IF($K126="","",IF($K126&gt;=Assumptions!$C$16,"Tier 1",IF($K126&gt;=Assumptions!$C$17,"Tier 2",IF(AND($G126&lt;&gt;"",$G126&gt;=Assumptions!$C$17),"Tier 3 — micro-conversion tests only","Tier 3"))))</f>
        <v/>
      </c>
      <c r="P126" s="16" t="str">
        <f aca="false">IF(O126="","",IF(LEFT(O126,6)="Tier 1","Pursue — offer trial; 2-week tests on purchase metrics",IF(LEFT(O126,6)="Tier 2","Qualify — trial on top-traffic pages only; bold tests (≥10% lift)",IF(O126="Tier 3","Don't trial A/B — nurture or sell non-testing services","Trial only if tests are scored on CTA clicks / leads, not purchases"))))</f>
        <v/>
      </c>
    </row>
    <row r="127" customFormat="false" ht="15" hidden="false" customHeight="false" outlineLevel="0" collapsed="false">
      <c r="A127" s="13"/>
      <c r="B127" s="13"/>
      <c r="C127" s="14"/>
      <c r="D127" s="14"/>
      <c r="E127" s="15"/>
      <c r="F127" s="15"/>
      <c r="G127" s="14"/>
      <c r="H127" s="13"/>
      <c r="I127" s="16" t="str">
        <f aca="false">IF($C127&lt;&gt;"","Actual orders",IF($D127&lt;&gt;"","Est. from traffic",IF($E127&lt;&gt;"","Est. from revenue","")))</f>
        <v/>
      </c>
      <c r="J127" s="17" t="str">
        <f aca="false">IF($C127&lt;&gt;"",$C127,IF($D127&lt;&gt;"",$D127*IFERROR(INDEX(Assumptions!$C$31:$C$42,MATCH($B127,Assumptions!$B$31:$B$42,0)),Assumptions!$C$19),IF($E127&lt;&gt;"",$E127*1000000/12/IF($F127&lt;&gt;"",$F127,IFERROR(INDEX(Assumptions!$D$31:$D$42,MATCH($B127,Assumptions!$B$31:$B$42,0)),Assumptions!$C$20)),"")))</f>
        <v/>
      </c>
      <c r="K127" s="17" t="str">
        <f aca="false">IF($J127="","",$J127/Assumptions!$C$27)</f>
        <v/>
      </c>
      <c r="L127" s="18" t="str">
        <f aca="false">IF($K127="","",MAX(Assumptions!$C$9*Assumptions!$C$25/($K127*Assumptions!$C$10),0))</f>
        <v/>
      </c>
      <c r="M127" s="18" t="str">
        <f aca="false">IF($K127="","",MAX(Assumptions!$C$9*Assumptions!$C$26/($K127*Assumptions!$C$10),0))</f>
        <v/>
      </c>
      <c r="N127" s="19" t="str">
        <f aca="false">IF($K127="","",MIN(Assumptions!$C$14,52/MAX(Assumptions!$C$9*Assumptions!$C$25/($K127*Assumptions!$C$10),Assumptions!$C$13)))</f>
        <v/>
      </c>
      <c r="O127" s="20" t="str">
        <f aca="false">IF($K127="","",IF($K127&gt;=Assumptions!$C$16,"Tier 1",IF($K127&gt;=Assumptions!$C$17,"Tier 2",IF(AND($G127&lt;&gt;"",$G127&gt;=Assumptions!$C$17),"Tier 3 — micro-conversion tests only","Tier 3"))))</f>
        <v/>
      </c>
      <c r="P127" s="16" t="str">
        <f aca="false">IF(O127="","",IF(LEFT(O127,6)="Tier 1","Pursue — offer trial; 2-week tests on purchase metrics",IF(LEFT(O127,6)="Tier 2","Qualify — trial on top-traffic pages only; bold tests (≥10% lift)",IF(O127="Tier 3","Don't trial A/B — nurture or sell non-testing services","Trial only if tests are scored on CTA clicks / leads, not purchases"))))</f>
        <v/>
      </c>
    </row>
    <row r="128" customFormat="false" ht="15" hidden="false" customHeight="false" outlineLevel="0" collapsed="false">
      <c r="A128" s="13"/>
      <c r="B128" s="13"/>
      <c r="C128" s="14"/>
      <c r="D128" s="14"/>
      <c r="E128" s="15"/>
      <c r="F128" s="15"/>
      <c r="G128" s="14"/>
      <c r="H128" s="13"/>
      <c r="I128" s="16" t="str">
        <f aca="false">IF($C128&lt;&gt;"","Actual orders",IF($D128&lt;&gt;"","Est. from traffic",IF($E128&lt;&gt;"","Est. from revenue","")))</f>
        <v/>
      </c>
      <c r="J128" s="17" t="str">
        <f aca="false">IF($C128&lt;&gt;"",$C128,IF($D128&lt;&gt;"",$D128*IFERROR(INDEX(Assumptions!$C$31:$C$42,MATCH($B128,Assumptions!$B$31:$B$42,0)),Assumptions!$C$19),IF($E128&lt;&gt;"",$E128*1000000/12/IF($F128&lt;&gt;"",$F128,IFERROR(INDEX(Assumptions!$D$31:$D$42,MATCH($B128,Assumptions!$B$31:$B$42,0)),Assumptions!$C$20)),"")))</f>
        <v/>
      </c>
      <c r="K128" s="17" t="str">
        <f aca="false">IF($J128="","",$J128/Assumptions!$C$27)</f>
        <v/>
      </c>
      <c r="L128" s="18" t="str">
        <f aca="false">IF($K128="","",MAX(Assumptions!$C$9*Assumptions!$C$25/($K128*Assumptions!$C$10),0))</f>
        <v/>
      </c>
      <c r="M128" s="18" t="str">
        <f aca="false">IF($K128="","",MAX(Assumptions!$C$9*Assumptions!$C$26/($K128*Assumptions!$C$10),0))</f>
        <v/>
      </c>
      <c r="N128" s="19" t="str">
        <f aca="false">IF($K128="","",MIN(Assumptions!$C$14,52/MAX(Assumptions!$C$9*Assumptions!$C$25/($K128*Assumptions!$C$10),Assumptions!$C$13)))</f>
        <v/>
      </c>
      <c r="O128" s="20" t="str">
        <f aca="false">IF($K128="","",IF($K128&gt;=Assumptions!$C$16,"Tier 1",IF($K128&gt;=Assumptions!$C$17,"Tier 2",IF(AND($G128&lt;&gt;"",$G128&gt;=Assumptions!$C$17),"Tier 3 — micro-conversion tests only","Tier 3"))))</f>
        <v/>
      </c>
      <c r="P128" s="16" t="str">
        <f aca="false">IF(O128="","",IF(LEFT(O128,6)="Tier 1","Pursue — offer trial; 2-week tests on purchase metrics",IF(LEFT(O128,6)="Tier 2","Qualify — trial on top-traffic pages only; bold tests (≥10% lift)",IF(O128="Tier 3","Don't trial A/B — nurture or sell non-testing services","Trial only if tests are scored on CTA clicks / leads, not purchases"))))</f>
        <v/>
      </c>
    </row>
    <row r="129" customFormat="false" ht="15" hidden="false" customHeight="false" outlineLevel="0" collapsed="false">
      <c r="A129" s="13"/>
      <c r="B129" s="13"/>
      <c r="C129" s="14"/>
      <c r="D129" s="14"/>
      <c r="E129" s="15"/>
      <c r="F129" s="15"/>
      <c r="G129" s="14"/>
      <c r="H129" s="13"/>
      <c r="I129" s="16" t="str">
        <f aca="false">IF($C129&lt;&gt;"","Actual orders",IF($D129&lt;&gt;"","Est. from traffic",IF($E129&lt;&gt;"","Est. from revenue","")))</f>
        <v/>
      </c>
      <c r="J129" s="17" t="str">
        <f aca="false">IF($C129&lt;&gt;"",$C129,IF($D129&lt;&gt;"",$D129*IFERROR(INDEX(Assumptions!$C$31:$C$42,MATCH($B129,Assumptions!$B$31:$B$42,0)),Assumptions!$C$19),IF($E129&lt;&gt;"",$E129*1000000/12/IF($F129&lt;&gt;"",$F129,IFERROR(INDEX(Assumptions!$D$31:$D$42,MATCH($B129,Assumptions!$B$31:$B$42,0)),Assumptions!$C$20)),"")))</f>
        <v/>
      </c>
      <c r="K129" s="17" t="str">
        <f aca="false">IF($J129="","",$J129/Assumptions!$C$27)</f>
        <v/>
      </c>
      <c r="L129" s="18" t="str">
        <f aca="false">IF($K129="","",MAX(Assumptions!$C$9*Assumptions!$C$25/($K129*Assumptions!$C$10),0))</f>
        <v/>
      </c>
      <c r="M129" s="18" t="str">
        <f aca="false">IF($K129="","",MAX(Assumptions!$C$9*Assumptions!$C$26/($K129*Assumptions!$C$10),0))</f>
        <v/>
      </c>
      <c r="N129" s="19" t="str">
        <f aca="false">IF($K129="","",MIN(Assumptions!$C$14,52/MAX(Assumptions!$C$9*Assumptions!$C$25/($K129*Assumptions!$C$10),Assumptions!$C$13)))</f>
        <v/>
      </c>
      <c r="O129" s="20" t="str">
        <f aca="false">IF($K129="","",IF($K129&gt;=Assumptions!$C$16,"Tier 1",IF($K129&gt;=Assumptions!$C$17,"Tier 2",IF(AND($G129&lt;&gt;"",$G129&gt;=Assumptions!$C$17),"Tier 3 — micro-conversion tests only","Tier 3"))))</f>
        <v/>
      </c>
      <c r="P129" s="16" t="str">
        <f aca="false">IF(O129="","",IF(LEFT(O129,6)="Tier 1","Pursue — offer trial; 2-week tests on purchase metrics",IF(LEFT(O129,6)="Tier 2","Qualify — trial on top-traffic pages only; bold tests (≥10% lift)",IF(O129="Tier 3","Don't trial A/B — nurture or sell non-testing services","Trial only if tests are scored on CTA clicks / leads, not purchases"))))</f>
        <v/>
      </c>
    </row>
    <row r="130" customFormat="false" ht="15" hidden="false" customHeight="false" outlineLevel="0" collapsed="false">
      <c r="A130" s="13"/>
      <c r="B130" s="13"/>
      <c r="C130" s="14"/>
      <c r="D130" s="14"/>
      <c r="E130" s="15"/>
      <c r="F130" s="15"/>
      <c r="G130" s="14"/>
      <c r="H130" s="13"/>
      <c r="I130" s="16" t="str">
        <f aca="false">IF($C130&lt;&gt;"","Actual orders",IF($D130&lt;&gt;"","Est. from traffic",IF($E130&lt;&gt;"","Est. from revenue","")))</f>
        <v/>
      </c>
      <c r="J130" s="17" t="str">
        <f aca="false">IF($C130&lt;&gt;"",$C130,IF($D130&lt;&gt;"",$D130*IFERROR(INDEX(Assumptions!$C$31:$C$42,MATCH($B130,Assumptions!$B$31:$B$42,0)),Assumptions!$C$19),IF($E130&lt;&gt;"",$E130*1000000/12/IF($F130&lt;&gt;"",$F130,IFERROR(INDEX(Assumptions!$D$31:$D$42,MATCH($B130,Assumptions!$B$31:$B$42,0)),Assumptions!$C$20)),"")))</f>
        <v/>
      </c>
      <c r="K130" s="17" t="str">
        <f aca="false">IF($J130="","",$J130/Assumptions!$C$27)</f>
        <v/>
      </c>
      <c r="L130" s="18" t="str">
        <f aca="false">IF($K130="","",MAX(Assumptions!$C$9*Assumptions!$C$25/($K130*Assumptions!$C$10),0))</f>
        <v/>
      </c>
      <c r="M130" s="18" t="str">
        <f aca="false">IF($K130="","",MAX(Assumptions!$C$9*Assumptions!$C$26/($K130*Assumptions!$C$10),0))</f>
        <v/>
      </c>
      <c r="N130" s="19" t="str">
        <f aca="false">IF($K130="","",MIN(Assumptions!$C$14,52/MAX(Assumptions!$C$9*Assumptions!$C$25/($K130*Assumptions!$C$10),Assumptions!$C$13)))</f>
        <v/>
      </c>
      <c r="O130" s="20" t="str">
        <f aca="false">IF($K130="","",IF($K130&gt;=Assumptions!$C$16,"Tier 1",IF($K130&gt;=Assumptions!$C$17,"Tier 2",IF(AND($G130&lt;&gt;"",$G130&gt;=Assumptions!$C$17),"Tier 3 — micro-conversion tests only","Tier 3"))))</f>
        <v/>
      </c>
      <c r="P130" s="16" t="str">
        <f aca="false">IF(O130="","",IF(LEFT(O130,6)="Tier 1","Pursue — offer trial; 2-week tests on purchase metrics",IF(LEFT(O130,6)="Tier 2","Qualify — trial on top-traffic pages only; bold tests (≥10% lift)",IF(O130="Tier 3","Don't trial A/B — nurture or sell non-testing services","Trial only if tests are scored on CTA clicks / leads, not purchases"))))</f>
        <v/>
      </c>
    </row>
    <row r="131" customFormat="false" ht="15" hidden="false" customHeight="false" outlineLevel="0" collapsed="false">
      <c r="A131" s="13"/>
      <c r="B131" s="13"/>
      <c r="C131" s="14"/>
      <c r="D131" s="14"/>
      <c r="E131" s="15"/>
      <c r="F131" s="15"/>
      <c r="G131" s="14"/>
      <c r="H131" s="13"/>
      <c r="I131" s="16" t="str">
        <f aca="false">IF($C131&lt;&gt;"","Actual orders",IF($D131&lt;&gt;"","Est. from traffic",IF($E131&lt;&gt;"","Est. from revenue","")))</f>
        <v/>
      </c>
      <c r="J131" s="17" t="str">
        <f aca="false">IF($C131&lt;&gt;"",$C131,IF($D131&lt;&gt;"",$D131*IFERROR(INDEX(Assumptions!$C$31:$C$42,MATCH($B131,Assumptions!$B$31:$B$42,0)),Assumptions!$C$19),IF($E131&lt;&gt;"",$E131*1000000/12/IF($F131&lt;&gt;"",$F131,IFERROR(INDEX(Assumptions!$D$31:$D$42,MATCH($B131,Assumptions!$B$31:$B$42,0)),Assumptions!$C$20)),"")))</f>
        <v/>
      </c>
      <c r="K131" s="17" t="str">
        <f aca="false">IF($J131="","",$J131/Assumptions!$C$27)</f>
        <v/>
      </c>
      <c r="L131" s="18" t="str">
        <f aca="false">IF($K131="","",MAX(Assumptions!$C$9*Assumptions!$C$25/($K131*Assumptions!$C$10),0))</f>
        <v/>
      </c>
      <c r="M131" s="18" t="str">
        <f aca="false">IF($K131="","",MAX(Assumptions!$C$9*Assumptions!$C$26/($K131*Assumptions!$C$10),0))</f>
        <v/>
      </c>
      <c r="N131" s="19" t="str">
        <f aca="false">IF($K131="","",MIN(Assumptions!$C$14,52/MAX(Assumptions!$C$9*Assumptions!$C$25/($K131*Assumptions!$C$10),Assumptions!$C$13)))</f>
        <v/>
      </c>
      <c r="O131" s="20" t="str">
        <f aca="false">IF($K131="","",IF($K131&gt;=Assumptions!$C$16,"Tier 1",IF($K131&gt;=Assumptions!$C$17,"Tier 2",IF(AND($G131&lt;&gt;"",$G131&gt;=Assumptions!$C$17),"Tier 3 — micro-conversion tests only","Tier 3"))))</f>
        <v/>
      </c>
      <c r="P131" s="16" t="str">
        <f aca="false">IF(O131="","",IF(LEFT(O131,6)="Tier 1","Pursue — offer trial; 2-week tests on purchase metrics",IF(LEFT(O131,6)="Tier 2","Qualify — trial on top-traffic pages only; bold tests (≥10% lift)",IF(O131="Tier 3","Don't trial A/B — nurture or sell non-testing services","Trial only if tests are scored on CTA clicks / leads, not purchases"))))</f>
        <v/>
      </c>
    </row>
    <row r="132" customFormat="false" ht="15" hidden="false" customHeight="false" outlineLevel="0" collapsed="false">
      <c r="A132" s="13"/>
      <c r="B132" s="13"/>
      <c r="C132" s="14"/>
      <c r="D132" s="14"/>
      <c r="E132" s="15"/>
      <c r="F132" s="15"/>
      <c r="G132" s="14"/>
      <c r="H132" s="13"/>
      <c r="I132" s="16" t="str">
        <f aca="false">IF($C132&lt;&gt;"","Actual orders",IF($D132&lt;&gt;"","Est. from traffic",IF($E132&lt;&gt;"","Est. from revenue","")))</f>
        <v/>
      </c>
      <c r="J132" s="17" t="str">
        <f aca="false">IF($C132&lt;&gt;"",$C132,IF($D132&lt;&gt;"",$D132*IFERROR(INDEX(Assumptions!$C$31:$C$42,MATCH($B132,Assumptions!$B$31:$B$42,0)),Assumptions!$C$19),IF($E132&lt;&gt;"",$E132*1000000/12/IF($F132&lt;&gt;"",$F132,IFERROR(INDEX(Assumptions!$D$31:$D$42,MATCH($B132,Assumptions!$B$31:$B$42,0)),Assumptions!$C$20)),"")))</f>
        <v/>
      </c>
      <c r="K132" s="17" t="str">
        <f aca="false">IF($J132="","",$J132/Assumptions!$C$27)</f>
        <v/>
      </c>
      <c r="L132" s="18" t="str">
        <f aca="false">IF($K132="","",MAX(Assumptions!$C$9*Assumptions!$C$25/($K132*Assumptions!$C$10),0))</f>
        <v/>
      </c>
      <c r="M132" s="18" t="str">
        <f aca="false">IF($K132="","",MAX(Assumptions!$C$9*Assumptions!$C$26/($K132*Assumptions!$C$10),0))</f>
        <v/>
      </c>
      <c r="N132" s="19" t="str">
        <f aca="false">IF($K132="","",MIN(Assumptions!$C$14,52/MAX(Assumptions!$C$9*Assumptions!$C$25/($K132*Assumptions!$C$10),Assumptions!$C$13)))</f>
        <v/>
      </c>
      <c r="O132" s="20" t="str">
        <f aca="false">IF($K132="","",IF($K132&gt;=Assumptions!$C$16,"Tier 1",IF($K132&gt;=Assumptions!$C$17,"Tier 2",IF(AND($G132&lt;&gt;"",$G132&gt;=Assumptions!$C$17),"Tier 3 — micro-conversion tests only","Tier 3"))))</f>
        <v/>
      </c>
      <c r="P132" s="16" t="str">
        <f aca="false">IF(O132="","",IF(LEFT(O132,6)="Tier 1","Pursue — offer trial; 2-week tests on purchase metrics",IF(LEFT(O132,6)="Tier 2","Qualify — trial on top-traffic pages only; bold tests (≥10% lift)",IF(O132="Tier 3","Don't trial A/B — nurture or sell non-testing services","Trial only if tests are scored on CTA clicks / leads, not purchases"))))</f>
        <v/>
      </c>
    </row>
    <row r="133" customFormat="false" ht="15" hidden="false" customHeight="false" outlineLevel="0" collapsed="false">
      <c r="A133" s="13"/>
      <c r="B133" s="13"/>
      <c r="C133" s="14"/>
      <c r="D133" s="14"/>
      <c r="E133" s="15"/>
      <c r="F133" s="15"/>
      <c r="G133" s="14"/>
      <c r="H133" s="13"/>
      <c r="I133" s="16" t="str">
        <f aca="false">IF($C133&lt;&gt;"","Actual orders",IF($D133&lt;&gt;"","Est. from traffic",IF($E133&lt;&gt;"","Est. from revenue","")))</f>
        <v/>
      </c>
      <c r="J133" s="17" t="str">
        <f aca="false">IF($C133&lt;&gt;"",$C133,IF($D133&lt;&gt;"",$D133*IFERROR(INDEX(Assumptions!$C$31:$C$42,MATCH($B133,Assumptions!$B$31:$B$42,0)),Assumptions!$C$19),IF($E133&lt;&gt;"",$E133*1000000/12/IF($F133&lt;&gt;"",$F133,IFERROR(INDEX(Assumptions!$D$31:$D$42,MATCH($B133,Assumptions!$B$31:$B$42,0)),Assumptions!$C$20)),"")))</f>
        <v/>
      </c>
      <c r="K133" s="17" t="str">
        <f aca="false">IF($J133="","",$J133/Assumptions!$C$27)</f>
        <v/>
      </c>
      <c r="L133" s="18" t="str">
        <f aca="false">IF($K133="","",MAX(Assumptions!$C$9*Assumptions!$C$25/($K133*Assumptions!$C$10),0))</f>
        <v/>
      </c>
      <c r="M133" s="18" t="str">
        <f aca="false">IF($K133="","",MAX(Assumptions!$C$9*Assumptions!$C$26/($K133*Assumptions!$C$10),0))</f>
        <v/>
      </c>
      <c r="N133" s="19" t="str">
        <f aca="false">IF($K133="","",MIN(Assumptions!$C$14,52/MAX(Assumptions!$C$9*Assumptions!$C$25/($K133*Assumptions!$C$10),Assumptions!$C$13)))</f>
        <v/>
      </c>
      <c r="O133" s="20" t="str">
        <f aca="false">IF($K133="","",IF($K133&gt;=Assumptions!$C$16,"Tier 1",IF($K133&gt;=Assumptions!$C$17,"Tier 2",IF(AND($G133&lt;&gt;"",$G133&gt;=Assumptions!$C$17),"Tier 3 — micro-conversion tests only","Tier 3"))))</f>
        <v/>
      </c>
      <c r="P133" s="16" t="str">
        <f aca="false">IF(O133="","",IF(LEFT(O133,6)="Tier 1","Pursue — offer trial; 2-week tests on purchase metrics",IF(LEFT(O133,6)="Tier 2","Qualify — trial on top-traffic pages only; bold tests (≥10% lift)",IF(O133="Tier 3","Don't trial A/B — nurture or sell non-testing services","Trial only if tests are scored on CTA clicks / leads, not purchases"))))</f>
        <v/>
      </c>
    </row>
    <row r="134" customFormat="false" ht="15" hidden="false" customHeight="false" outlineLevel="0" collapsed="false">
      <c r="A134" s="13"/>
      <c r="B134" s="13"/>
      <c r="C134" s="14"/>
      <c r="D134" s="14"/>
      <c r="E134" s="15"/>
      <c r="F134" s="15"/>
      <c r="G134" s="14"/>
      <c r="H134" s="13"/>
      <c r="I134" s="16" t="str">
        <f aca="false">IF($C134&lt;&gt;"","Actual orders",IF($D134&lt;&gt;"","Est. from traffic",IF($E134&lt;&gt;"","Est. from revenue","")))</f>
        <v/>
      </c>
      <c r="J134" s="17" t="str">
        <f aca="false">IF($C134&lt;&gt;"",$C134,IF($D134&lt;&gt;"",$D134*IFERROR(INDEX(Assumptions!$C$31:$C$42,MATCH($B134,Assumptions!$B$31:$B$42,0)),Assumptions!$C$19),IF($E134&lt;&gt;"",$E134*1000000/12/IF($F134&lt;&gt;"",$F134,IFERROR(INDEX(Assumptions!$D$31:$D$42,MATCH($B134,Assumptions!$B$31:$B$42,0)),Assumptions!$C$20)),"")))</f>
        <v/>
      </c>
      <c r="K134" s="17" t="str">
        <f aca="false">IF($J134="","",$J134/Assumptions!$C$27)</f>
        <v/>
      </c>
      <c r="L134" s="18" t="str">
        <f aca="false">IF($K134="","",MAX(Assumptions!$C$9*Assumptions!$C$25/($K134*Assumptions!$C$10),0))</f>
        <v/>
      </c>
      <c r="M134" s="18" t="str">
        <f aca="false">IF($K134="","",MAX(Assumptions!$C$9*Assumptions!$C$26/($K134*Assumptions!$C$10),0))</f>
        <v/>
      </c>
      <c r="N134" s="19" t="str">
        <f aca="false">IF($K134="","",MIN(Assumptions!$C$14,52/MAX(Assumptions!$C$9*Assumptions!$C$25/($K134*Assumptions!$C$10),Assumptions!$C$13)))</f>
        <v/>
      </c>
      <c r="O134" s="20" t="str">
        <f aca="false">IF($K134="","",IF($K134&gt;=Assumptions!$C$16,"Tier 1",IF($K134&gt;=Assumptions!$C$17,"Tier 2",IF(AND($G134&lt;&gt;"",$G134&gt;=Assumptions!$C$17),"Tier 3 — micro-conversion tests only","Tier 3"))))</f>
        <v/>
      </c>
      <c r="P134" s="16" t="str">
        <f aca="false">IF(O134="","",IF(LEFT(O134,6)="Tier 1","Pursue — offer trial; 2-week tests on purchase metrics",IF(LEFT(O134,6)="Tier 2","Qualify — trial on top-traffic pages only; bold tests (≥10% lift)",IF(O134="Tier 3","Don't trial A/B — nurture or sell non-testing services","Trial only if tests are scored on CTA clicks / leads, not purchases"))))</f>
        <v/>
      </c>
    </row>
    <row r="135" customFormat="false" ht="15" hidden="false" customHeight="false" outlineLevel="0" collapsed="false">
      <c r="A135" s="13"/>
      <c r="B135" s="13"/>
      <c r="C135" s="14"/>
      <c r="D135" s="14"/>
      <c r="E135" s="15"/>
      <c r="F135" s="15"/>
      <c r="G135" s="14"/>
      <c r="H135" s="13"/>
      <c r="I135" s="16" t="str">
        <f aca="false">IF($C135&lt;&gt;"","Actual orders",IF($D135&lt;&gt;"","Est. from traffic",IF($E135&lt;&gt;"","Est. from revenue","")))</f>
        <v/>
      </c>
      <c r="J135" s="17" t="str">
        <f aca="false">IF($C135&lt;&gt;"",$C135,IF($D135&lt;&gt;"",$D135*IFERROR(INDEX(Assumptions!$C$31:$C$42,MATCH($B135,Assumptions!$B$31:$B$42,0)),Assumptions!$C$19),IF($E135&lt;&gt;"",$E135*1000000/12/IF($F135&lt;&gt;"",$F135,IFERROR(INDEX(Assumptions!$D$31:$D$42,MATCH($B135,Assumptions!$B$31:$B$42,0)),Assumptions!$C$20)),"")))</f>
        <v/>
      </c>
      <c r="K135" s="17" t="str">
        <f aca="false">IF($J135="","",$J135/Assumptions!$C$27)</f>
        <v/>
      </c>
      <c r="L135" s="18" t="str">
        <f aca="false">IF($K135="","",MAX(Assumptions!$C$9*Assumptions!$C$25/($K135*Assumptions!$C$10),0))</f>
        <v/>
      </c>
      <c r="M135" s="18" t="str">
        <f aca="false">IF($K135="","",MAX(Assumptions!$C$9*Assumptions!$C$26/($K135*Assumptions!$C$10),0))</f>
        <v/>
      </c>
      <c r="N135" s="19" t="str">
        <f aca="false">IF($K135="","",MIN(Assumptions!$C$14,52/MAX(Assumptions!$C$9*Assumptions!$C$25/($K135*Assumptions!$C$10),Assumptions!$C$13)))</f>
        <v/>
      </c>
      <c r="O135" s="20" t="str">
        <f aca="false">IF($K135="","",IF($K135&gt;=Assumptions!$C$16,"Tier 1",IF($K135&gt;=Assumptions!$C$17,"Tier 2",IF(AND($G135&lt;&gt;"",$G135&gt;=Assumptions!$C$17),"Tier 3 — micro-conversion tests only","Tier 3"))))</f>
        <v/>
      </c>
      <c r="P135" s="16" t="str">
        <f aca="false">IF(O135="","",IF(LEFT(O135,6)="Tier 1","Pursue — offer trial; 2-week tests on purchase metrics",IF(LEFT(O135,6)="Tier 2","Qualify — trial on top-traffic pages only; bold tests (≥10% lift)",IF(O135="Tier 3","Don't trial A/B — nurture or sell non-testing services","Trial only if tests are scored on CTA clicks / leads, not purchases"))))</f>
        <v/>
      </c>
    </row>
    <row r="136" customFormat="false" ht="15" hidden="false" customHeight="false" outlineLevel="0" collapsed="false">
      <c r="A136" s="13"/>
      <c r="B136" s="13"/>
      <c r="C136" s="14"/>
      <c r="D136" s="14"/>
      <c r="E136" s="15"/>
      <c r="F136" s="15"/>
      <c r="G136" s="14"/>
      <c r="H136" s="13"/>
      <c r="I136" s="16" t="str">
        <f aca="false">IF($C136&lt;&gt;"","Actual orders",IF($D136&lt;&gt;"","Est. from traffic",IF($E136&lt;&gt;"","Est. from revenue","")))</f>
        <v/>
      </c>
      <c r="J136" s="17" t="str">
        <f aca="false">IF($C136&lt;&gt;"",$C136,IF($D136&lt;&gt;"",$D136*IFERROR(INDEX(Assumptions!$C$31:$C$42,MATCH($B136,Assumptions!$B$31:$B$42,0)),Assumptions!$C$19),IF($E136&lt;&gt;"",$E136*1000000/12/IF($F136&lt;&gt;"",$F136,IFERROR(INDEX(Assumptions!$D$31:$D$42,MATCH($B136,Assumptions!$B$31:$B$42,0)),Assumptions!$C$20)),"")))</f>
        <v/>
      </c>
      <c r="K136" s="17" t="str">
        <f aca="false">IF($J136="","",$J136/Assumptions!$C$27)</f>
        <v/>
      </c>
      <c r="L136" s="18" t="str">
        <f aca="false">IF($K136="","",MAX(Assumptions!$C$9*Assumptions!$C$25/($K136*Assumptions!$C$10),0))</f>
        <v/>
      </c>
      <c r="M136" s="18" t="str">
        <f aca="false">IF($K136="","",MAX(Assumptions!$C$9*Assumptions!$C$26/($K136*Assumptions!$C$10),0))</f>
        <v/>
      </c>
      <c r="N136" s="19" t="str">
        <f aca="false">IF($K136="","",MIN(Assumptions!$C$14,52/MAX(Assumptions!$C$9*Assumptions!$C$25/($K136*Assumptions!$C$10),Assumptions!$C$13)))</f>
        <v/>
      </c>
      <c r="O136" s="20" t="str">
        <f aca="false">IF($K136="","",IF($K136&gt;=Assumptions!$C$16,"Tier 1",IF($K136&gt;=Assumptions!$C$17,"Tier 2",IF(AND($G136&lt;&gt;"",$G136&gt;=Assumptions!$C$17),"Tier 3 — micro-conversion tests only","Tier 3"))))</f>
        <v/>
      </c>
      <c r="P136" s="16" t="str">
        <f aca="false">IF(O136="","",IF(LEFT(O136,6)="Tier 1","Pursue — offer trial; 2-week tests on purchase metrics",IF(LEFT(O136,6)="Tier 2","Qualify — trial on top-traffic pages only; bold tests (≥10% lift)",IF(O136="Tier 3","Don't trial A/B — nurture or sell non-testing services","Trial only if tests are scored on CTA clicks / leads, not purchases"))))</f>
        <v/>
      </c>
    </row>
    <row r="137" customFormat="false" ht="15" hidden="false" customHeight="false" outlineLevel="0" collapsed="false">
      <c r="A137" s="13"/>
      <c r="B137" s="13"/>
      <c r="C137" s="14"/>
      <c r="D137" s="14"/>
      <c r="E137" s="15"/>
      <c r="F137" s="15"/>
      <c r="G137" s="14"/>
      <c r="H137" s="13"/>
      <c r="I137" s="16" t="str">
        <f aca="false">IF($C137&lt;&gt;"","Actual orders",IF($D137&lt;&gt;"","Est. from traffic",IF($E137&lt;&gt;"","Est. from revenue","")))</f>
        <v/>
      </c>
      <c r="J137" s="17" t="str">
        <f aca="false">IF($C137&lt;&gt;"",$C137,IF($D137&lt;&gt;"",$D137*IFERROR(INDEX(Assumptions!$C$31:$C$42,MATCH($B137,Assumptions!$B$31:$B$42,0)),Assumptions!$C$19),IF($E137&lt;&gt;"",$E137*1000000/12/IF($F137&lt;&gt;"",$F137,IFERROR(INDEX(Assumptions!$D$31:$D$42,MATCH($B137,Assumptions!$B$31:$B$42,0)),Assumptions!$C$20)),"")))</f>
        <v/>
      </c>
      <c r="K137" s="17" t="str">
        <f aca="false">IF($J137="","",$J137/Assumptions!$C$27)</f>
        <v/>
      </c>
      <c r="L137" s="18" t="str">
        <f aca="false">IF($K137="","",MAX(Assumptions!$C$9*Assumptions!$C$25/($K137*Assumptions!$C$10),0))</f>
        <v/>
      </c>
      <c r="M137" s="18" t="str">
        <f aca="false">IF($K137="","",MAX(Assumptions!$C$9*Assumptions!$C$26/($K137*Assumptions!$C$10),0))</f>
        <v/>
      </c>
      <c r="N137" s="19" t="str">
        <f aca="false">IF($K137="","",MIN(Assumptions!$C$14,52/MAX(Assumptions!$C$9*Assumptions!$C$25/($K137*Assumptions!$C$10),Assumptions!$C$13)))</f>
        <v/>
      </c>
      <c r="O137" s="20" t="str">
        <f aca="false">IF($K137="","",IF($K137&gt;=Assumptions!$C$16,"Tier 1",IF($K137&gt;=Assumptions!$C$17,"Tier 2",IF(AND($G137&lt;&gt;"",$G137&gt;=Assumptions!$C$17),"Tier 3 — micro-conversion tests only","Tier 3"))))</f>
        <v/>
      </c>
      <c r="P137" s="16" t="str">
        <f aca="false">IF(O137="","",IF(LEFT(O137,6)="Tier 1","Pursue — offer trial; 2-week tests on purchase metrics",IF(LEFT(O137,6)="Tier 2","Qualify — trial on top-traffic pages only; bold tests (≥10% lift)",IF(O137="Tier 3","Don't trial A/B — nurture or sell non-testing services","Trial only if tests are scored on CTA clicks / leads, not purchases"))))</f>
        <v/>
      </c>
    </row>
    <row r="138" customFormat="false" ht="15" hidden="false" customHeight="false" outlineLevel="0" collapsed="false">
      <c r="A138" s="13"/>
      <c r="B138" s="13"/>
      <c r="C138" s="14"/>
      <c r="D138" s="14"/>
      <c r="E138" s="15"/>
      <c r="F138" s="15"/>
      <c r="G138" s="14"/>
      <c r="H138" s="13"/>
      <c r="I138" s="16" t="str">
        <f aca="false">IF($C138&lt;&gt;"","Actual orders",IF($D138&lt;&gt;"","Est. from traffic",IF($E138&lt;&gt;"","Est. from revenue","")))</f>
        <v/>
      </c>
      <c r="J138" s="17" t="str">
        <f aca="false">IF($C138&lt;&gt;"",$C138,IF($D138&lt;&gt;"",$D138*IFERROR(INDEX(Assumptions!$C$31:$C$42,MATCH($B138,Assumptions!$B$31:$B$42,0)),Assumptions!$C$19),IF($E138&lt;&gt;"",$E138*1000000/12/IF($F138&lt;&gt;"",$F138,IFERROR(INDEX(Assumptions!$D$31:$D$42,MATCH($B138,Assumptions!$B$31:$B$42,0)),Assumptions!$C$20)),"")))</f>
        <v/>
      </c>
      <c r="K138" s="17" t="str">
        <f aca="false">IF($J138="","",$J138/Assumptions!$C$27)</f>
        <v/>
      </c>
      <c r="L138" s="18" t="str">
        <f aca="false">IF($K138="","",MAX(Assumptions!$C$9*Assumptions!$C$25/($K138*Assumptions!$C$10),0))</f>
        <v/>
      </c>
      <c r="M138" s="18" t="str">
        <f aca="false">IF($K138="","",MAX(Assumptions!$C$9*Assumptions!$C$26/($K138*Assumptions!$C$10),0))</f>
        <v/>
      </c>
      <c r="N138" s="19" t="str">
        <f aca="false">IF($K138="","",MIN(Assumptions!$C$14,52/MAX(Assumptions!$C$9*Assumptions!$C$25/($K138*Assumptions!$C$10),Assumptions!$C$13)))</f>
        <v/>
      </c>
      <c r="O138" s="20" t="str">
        <f aca="false">IF($K138="","",IF($K138&gt;=Assumptions!$C$16,"Tier 1",IF($K138&gt;=Assumptions!$C$17,"Tier 2",IF(AND($G138&lt;&gt;"",$G138&gt;=Assumptions!$C$17),"Tier 3 — micro-conversion tests only","Tier 3"))))</f>
        <v/>
      </c>
      <c r="P138" s="16" t="str">
        <f aca="false">IF(O138="","",IF(LEFT(O138,6)="Tier 1","Pursue — offer trial; 2-week tests on purchase metrics",IF(LEFT(O138,6)="Tier 2","Qualify — trial on top-traffic pages only; bold tests (≥10% lift)",IF(O138="Tier 3","Don't trial A/B — nurture or sell non-testing services","Trial only if tests are scored on CTA clicks / leads, not purchases"))))</f>
        <v/>
      </c>
    </row>
    <row r="139" customFormat="false" ht="15" hidden="false" customHeight="false" outlineLevel="0" collapsed="false">
      <c r="A139" s="13"/>
      <c r="B139" s="13"/>
      <c r="C139" s="14"/>
      <c r="D139" s="14"/>
      <c r="E139" s="15"/>
      <c r="F139" s="15"/>
      <c r="G139" s="14"/>
      <c r="H139" s="13"/>
      <c r="I139" s="16" t="str">
        <f aca="false">IF($C139&lt;&gt;"","Actual orders",IF($D139&lt;&gt;"","Est. from traffic",IF($E139&lt;&gt;"","Est. from revenue","")))</f>
        <v/>
      </c>
      <c r="J139" s="17" t="str">
        <f aca="false">IF($C139&lt;&gt;"",$C139,IF($D139&lt;&gt;"",$D139*IFERROR(INDEX(Assumptions!$C$31:$C$42,MATCH($B139,Assumptions!$B$31:$B$42,0)),Assumptions!$C$19),IF($E139&lt;&gt;"",$E139*1000000/12/IF($F139&lt;&gt;"",$F139,IFERROR(INDEX(Assumptions!$D$31:$D$42,MATCH($B139,Assumptions!$B$31:$B$42,0)),Assumptions!$C$20)),"")))</f>
        <v/>
      </c>
      <c r="K139" s="17" t="str">
        <f aca="false">IF($J139="","",$J139/Assumptions!$C$27)</f>
        <v/>
      </c>
      <c r="L139" s="18" t="str">
        <f aca="false">IF($K139="","",MAX(Assumptions!$C$9*Assumptions!$C$25/($K139*Assumptions!$C$10),0))</f>
        <v/>
      </c>
      <c r="M139" s="18" t="str">
        <f aca="false">IF($K139="","",MAX(Assumptions!$C$9*Assumptions!$C$26/($K139*Assumptions!$C$10),0))</f>
        <v/>
      </c>
      <c r="N139" s="19" t="str">
        <f aca="false">IF($K139="","",MIN(Assumptions!$C$14,52/MAX(Assumptions!$C$9*Assumptions!$C$25/($K139*Assumptions!$C$10),Assumptions!$C$13)))</f>
        <v/>
      </c>
      <c r="O139" s="20" t="str">
        <f aca="false">IF($K139="","",IF($K139&gt;=Assumptions!$C$16,"Tier 1",IF($K139&gt;=Assumptions!$C$17,"Tier 2",IF(AND($G139&lt;&gt;"",$G139&gt;=Assumptions!$C$17),"Tier 3 — micro-conversion tests only","Tier 3"))))</f>
        <v/>
      </c>
      <c r="P139" s="16" t="str">
        <f aca="false">IF(O139="","",IF(LEFT(O139,6)="Tier 1","Pursue — offer trial; 2-week tests on purchase metrics",IF(LEFT(O139,6)="Tier 2","Qualify — trial on top-traffic pages only; bold tests (≥10% lift)",IF(O139="Tier 3","Don't trial A/B — nurture or sell non-testing services","Trial only if tests are scored on CTA clicks / leads, not purchases"))))</f>
        <v/>
      </c>
    </row>
    <row r="140" customFormat="false" ht="15" hidden="false" customHeight="false" outlineLevel="0" collapsed="false">
      <c r="A140" s="13"/>
      <c r="B140" s="13"/>
      <c r="C140" s="14"/>
      <c r="D140" s="14"/>
      <c r="E140" s="15"/>
      <c r="F140" s="15"/>
      <c r="G140" s="14"/>
      <c r="H140" s="13"/>
      <c r="I140" s="16" t="str">
        <f aca="false">IF($C140&lt;&gt;"","Actual orders",IF($D140&lt;&gt;"","Est. from traffic",IF($E140&lt;&gt;"","Est. from revenue","")))</f>
        <v/>
      </c>
      <c r="J140" s="17" t="str">
        <f aca="false">IF($C140&lt;&gt;"",$C140,IF($D140&lt;&gt;"",$D140*IFERROR(INDEX(Assumptions!$C$31:$C$42,MATCH($B140,Assumptions!$B$31:$B$42,0)),Assumptions!$C$19),IF($E140&lt;&gt;"",$E140*1000000/12/IF($F140&lt;&gt;"",$F140,IFERROR(INDEX(Assumptions!$D$31:$D$42,MATCH($B140,Assumptions!$B$31:$B$42,0)),Assumptions!$C$20)),"")))</f>
        <v/>
      </c>
      <c r="K140" s="17" t="str">
        <f aca="false">IF($J140="","",$J140/Assumptions!$C$27)</f>
        <v/>
      </c>
      <c r="L140" s="18" t="str">
        <f aca="false">IF($K140="","",MAX(Assumptions!$C$9*Assumptions!$C$25/($K140*Assumptions!$C$10),0))</f>
        <v/>
      </c>
      <c r="M140" s="18" t="str">
        <f aca="false">IF($K140="","",MAX(Assumptions!$C$9*Assumptions!$C$26/($K140*Assumptions!$C$10),0))</f>
        <v/>
      </c>
      <c r="N140" s="19" t="str">
        <f aca="false">IF($K140="","",MIN(Assumptions!$C$14,52/MAX(Assumptions!$C$9*Assumptions!$C$25/($K140*Assumptions!$C$10),Assumptions!$C$13)))</f>
        <v/>
      </c>
      <c r="O140" s="20" t="str">
        <f aca="false">IF($K140="","",IF($K140&gt;=Assumptions!$C$16,"Tier 1",IF($K140&gt;=Assumptions!$C$17,"Tier 2",IF(AND($G140&lt;&gt;"",$G140&gt;=Assumptions!$C$17),"Tier 3 — micro-conversion tests only","Tier 3"))))</f>
        <v/>
      </c>
      <c r="P140" s="16" t="str">
        <f aca="false">IF(O140="","",IF(LEFT(O140,6)="Tier 1","Pursue — offer trial; 2-week tests on purchase metrics",IF(LEFT(O140,6)="Tier 2","Qualify — trial on top-traffic pages only; bold tests (≥10% lift)",IF(O140="Tier 3","Don't trial A/B — nurture or sell non-testing services","Trial only if tests are scored on CTA clicks / leads, not purchases"))))</f>
        <v/>
      </c>
    </row>
    <row r="141" customFormat="false" ht="15" hidden="false" customHeight="false" outlineLevel="0" collapsed="false">
      <c r="A141" s="13"/>
      <c r="B141" s="13"/>
      <c r="C141" s="14"/>
      <c r="D141" s="14"/>
      <c r="E141" s="15"/>
      <c r="F141" s="15"/>
      <c r="G141" s="14"/>
      <c r="H141" s="13"/>
      <c r="I141" s="16" t="str">
        <f aca="false">IF($C141&lt;&gt;"","Actual orders",IF($D141&lt;&gt;"","Est. from traffic",IF($E141&lt;&gt;"","Est. from revenue","")))</f>
        <v/>
      </c>
      <c r="J141" s="17" t="str">
        <f aca="false">IF($C141&lt;&gt;"",$C141,IF($D141&lt;&gt;"",$D141*IFERROR(INDEX(Assumptions!$C$31:$C$42,MATCH($B141,Assumptions!$B$31:$B$42,0)),Assumptions!$C$19),IF($E141&lt;&gt;"",$E141*1000000/12/IF($F141&lt;&gt;"",$F141,IFERROR(INDEX(Assumptions!$D$31:$D$42,MATCH($B141,Assumptions!$B$31:$B$42,0)),Assumptions!$C$20)),"")))</f>
        <v/>
      </c>
      <c r="K141" s="17" t="str">
        <f aca="false">IF($J141="","",$J141/Assumptions!$C$27)</f>
        <v/>
      </c>
      <c r="L141" s="18" t="str">
        <f aca="false">IF($K141="","",MAX(Assumptions!$C$9*Assumptions!$C$25/($K141*Assumptions!$C$10),0))</f>
        <v/>
      </c>
      <c r="M141" s="18" t="str">
        <f aca="false">IF($K141="","",MAX(Assumptions!$C$9*Assumptions!$C$26/($K141*Assumptions!$C$10),0))</f>
        <v/>
      </c>
      <c r="N141" s="19" t="str">
        <f aca="false">IF($K141="","",MIN(Assumptions!$C$14,52/MAX(Assumptions!$C$9*Assumptions!$C$25/($K141*Assumptions!$C$10),Assumptions!$C$13)))</f>
        <v/>
      </c>
      <c r="O141" s="20" t="str">
        <f aca="false">IF($K141="","",IF($K141&gt;=Assumptions!$C$16,"Tier 1",IF($K141&gt;=Assumptions!$C$17,"Tier 2",IF(AND($G141&lt;&gt;"",$G141&gt;=Assumptions!$C$17),"Tier 3 — micro-conversion tests only","Tier 3"))))</f>
        <v/>
      </c>
      <c r="P141" s="16" t="str">
        <f aca="false">IF(O141="","",IF(LEFT(O141,6)="Tier 1","Pursue — offer trial; 2-week tests on purchase metrics",IF(LEFT(O141,6)="Tier 2","Qualify — trial on top-traffic pages only; bold tests (≥10% lift)",IF(O141="Tier 3","Don't trial A/B — nurture or sell non-testing services","Trial only if tests are scored on CTA clicks / leads, not purchases"))))</f>
        <v/>
      </c>
    </row>
    <row r="142" customFormat="false" ht="15" hidden="false" customHeight="false" outlineLevel="0" collapsed="false">
      <c r="A142" s="13"/>
      <c r="B142" s="13"/>
      <c r="C142" s="14"/>
      <c r="D142" s="14"/>
      <c r="E142" s="15"/>
      <c r="F142" s="15"/>
      <c r="G142" s="14"/>
      <c r="H142" s="13"/>
      <c r="I142" s="16" t="str">
        <f aca="false">IF($C142&lt;&gt;"","Actual orders",IF($D142&lt;&gt;"","Est. from traffic",IF($E142&lt;&gt;"","Est. from revenue","")))</f>
        <v/>
      </c>
      <c r="J142" s="17" t="str">
        <f aca="false">IF($C142&lt;&gt;"",$C142,IF($D142&lt;&gt;"",$D142*IFERROR(INDEX(Assumptions!$C$31:$C$42,MATCH($B142,Assumptions!$B$31:$B$42,0)),Assumptions!$C$19),IF($E142&lt;&gt;"",$E142*1000000/12/IF($F142&lt;&gt;"",$F142,IFERROR(INDEX(Assumptions!$D$31:$D$42,MATCH($B142,Assumptions!$B$31:$B$42,0)),Assumptions!$C$20)),"")))</f>
        <v/>
      </c>
      <c r="K142" s="17" t="str">
        <f aca="false">IF($J142="","",$J142/Assumptions!$C$27)</f>
        <v/>
      </c>
      <c r="L142" s="18" t="str">
        <f aca="false">IF($K142="","",MAX(Assumptions!$C$9*Assumptions!$C$25/($K142*Assumptions!$C$10),0))</f>
        <v/>
      </c>
      <c r="M142" s="18" t="str">
        <f aca="false">IF($K142="","",MAX(Assumptions!$C$9*Assumptions!$C$26/($K142*Assumptions!$C$10),0))</f>
        <v/>
      </c>
      <c r="N142" s="19" t="str">
        <f aca="false">IF($K142="","",MIN(Assumptions!$C$14,52/MAX(Assumptions!$C$9*Assumptions!$C$25/($K142*Assumptions!$C$10),Assumptions!$C$13)))</f>
        <v/>
      </c>
      <c r="O142" s="20" t="str">
        <f aca="false">IF($K142="","",IF($K142&gt;=Assumptions!$C$16,"Tier 1",IF($K142&gt;=Assumptions!$C$17,"Tier 2",IF(AND($G142&lt;&gt;"",$G142&gt;=Assumptions!$C$17),"Tier 3 — micro-conversion tests only","Tier 3"))))</f>
        <v/>
      </c>
      <c r="P142" s="16" t="str">
        <f aca="false">IF(O142="","",IF(LEFT(O142,6)="Tier 1","Pursue — offer trial; 2-week tests on purchase metrics",IF(LEFT(O142,6)="Tier 2","Qualify — trial on top-traffic pages only; bold tests (≥10% lift)",IF(O142="Tier 3","Don't trial A/B — nurture or sell non-testing services","Trial only if tests are scored on CTA clicks / leads, not purchases"))))</f>
        <v/>
      </c>
    </row>
    <row r="143" customFormat="false" ht="15" hidden="false" customHeight="false" outlineLevel="0" collapsed="false">
      <c r="A143" s="13"/>
      <c r="B143" s="13"/>
      <c r="C143" s="14"/>
      <c r="D143" s="14"/>
      <c r="E143" s="15"/>
      <c r="F143" s="15"/>
      <c r="G143" s="14"/>
      <c r="H143" s="13"/>
      <c r="I143" s="16" t="str">
        <f aca="false">IF($C143&lt;&gt;"","Actual orders",IF($D143&lt;&gt;"","Est. from traffic",IF($E143&lt;&gt;"","Est. from revenue","")))</f>
        <v/>
      </c>
      <c r="J143" s="17" t="str">
        <f aca="false">IF($C143&lt;&gt;"",$C143,IF($D143&lt;&gt;"",$D143*IFERROR(INDEX(Assumptions!$C$31:$C$42,MATCH($B143,Assumptions!$B$31:$B$42,0)),Assumptions!$C$19),IF($E143&lt;&gt;"",$E143*1000000/12/IF($F143&lt;&gt;"",$F143,IFERROR(INDEX(Assumptions!$D$31:$D$42,MATCH($B143,Assumptions!$B$31:$B$42,0)),Assumptions!$C$20)),"")))</f>
        <v/>
      </c>
      <c r="K143" s="17" t="str">
        <f aca="false">IF($J143="","",$J143/Assumptions!$C$27)</f>
        <v/>
      </c>
      <c r="L143" s="18" t="str">
        <f aca="false">IF($K143="","",MAX(Assumptions!$C$9*Assumptions!$C$25/($K143*Assumptions!$C$10),0))</f>
        <v/>
      </c>
      <c r="M143" s="18" t="str">
        <f aca="false">IF($K143="","",MAX(Assumptions!$C$9*Assumptions!$C$26/($K143*Assumptions!$C$10),0))</f>
        <v/>
      </c>
      <c r="N143" s="19" t="str">
        <f aca="false">IF($K143="","",MIN(Assumptions!$C$14,52/MAX(Assumptions!$C$9*Assumptions!$C$25/($K143*Assumptions!$C$10),Assumptions!$C$13)))</f>
        <v/>
      </c>
      <c r="O143" s="20" t="str">
        <f aca="false">IF($K143="","",IF($K143&gt;=Assumptions!$C$16,"Tier 1",IF($K143&gt;=Assumptions!$C$17,"Tier 2",IF(AND($G143&lt;&gt;"",$G143&gt;=Assumptions!$C$17),"Tier 3 — micro-conversion tests only","Tier 3"))))</f>
        <v/>
      </c>
      <c r="P143" s="16" t="str">
        <f aca="false">IF(O143="","",IF(LEFT(O143,6)="Tier 1","Pursue — offer trial; 2-week tests on purchase metrics",IF(LEFT(O143,6)="Tier 2","Qualify — trial on top-traffic pages only; bold tests (≥10% lift)",IF(O143="Tier 3","Don't trial A/B — nurture or sell non-testing services","Trial only if tests are scored on CTA clicks / leads, not purchases"))))</f>
        <v/>
      </c>
    </row>
    <row r="144" customFormat="false" ht="15" hidden="false" customHeight="false" outlineLevel="0" collapsed="false">
      <c r="A144" s="13"/>
      <c r="B144" s="13"/>
      <c r="C144" s="14"/>
      <c r="D144" s="14"/>
      <c r="E144" s="15"/>
      <c r="F144" s="15"/>
      <c r="G144" s="14"/>
      <c r="H144" s="13"/>
      <c r="I144" s="16" t="str">
        <f aca="false">IF($C144&lt;&gt;"","Actual orders",IF($D144&lt;&gt;"","Est. from traffic",IF($E144&lt;&gt;"","Est. from revenue","")))</f>
        <v/>
      </c>
      <c r="J144" s="17" t="str">
        <f aca="false">IF($C144&lt;&gt;"",$C144,IF($D144&lt;&gt;"",$D144*IFERROR(INDEX(Assumptions!$C$31:$C$42,MATCH($B144,Assumptions!$B$31:$B$42,0)),Assumptions!$C$19),IF($E144&lt;&gt;"",$E144*1000000/12/IF($F144&lt;&gt;"",$F144,IFERROR(INDEX(Assumptions!$D$31:$D$42,MATCH($B144,Assumptions!$B$31:$B$42,0)),Assumptions!$C$20)),"")))</f>
        <v/>
      </c>
      <c r="K144" s="17" t="str">
        <f aca="false">IF($J144="","",$J144/Assumptions!$C$27)</f>
        <v/>
      </c>
      <c r="L144" s="18" t="str">
        <f aca="false">IF($K144="","",MAX(Assumptions!$C$9*Assumptions!$C$25/($K144*Assumptions!$C$10),0))</f>
        <v/>
      </c>
      <c r="M144" s="18" t="str">
        <f aca="false">IF($K144="","",MAX(Assumptions!$C$9*Assumptions!$C$26/($K144*Assumptions!$C$10),0))</f>
        <v/>
      </c>
      <c r="N144" s="19" t="str">
        <f aca="false">IF($K144="","",MIN(Assumptions!$C$14,52/MAX(Assumptions!$C$9*Assumptions!$C$25/($K144*Assumptions!$C$10),Assumptions!$C$13)))</f>
        <v/>
      </c>
      <c r="O144" s="20" t="str">
        <f aca="false">IF($K144="","",IF($K144&gt;=Assumptions!$C$16,"Tier 1",IF($K144&gt;=Assumptions!$C$17,"Tier 2",IF(AND($G144&lt;&gt;"",$G144&gt;=Assumptions!$C$17),"Tier 3 — micro-conversion tests only","Tier 3"))))</f>
        <v/>
      </c>
      <c r="P144" s="16" t="str">
        <f aca="false">IF(O144="","",IF(LEFT(O144,6)="Tier 1","Pursue — offer trial; 2-week tests on purchase metrics",IF(LEFT(O144,6)="Tier 2","Qualify — trial on top-traffic pages only; bold tests (≥10% lift)",IF(O144="Tier 3","Don't trial A/B — nurture or sell non-testing services","Trial only if tests are scored on CTA clicks / leads, not purchases"))))</f>
        <v/>
      </c>
    </row>
    <row r="145" customFormat="false" ht="15" hidden="false" customHeight="false" outlineLevel="0" collapsed="false">
      <c r="A145" s="13"/>
      <c r="B145" s="13"/>
      <c r="C145" s="14"/>
      <c r="D145" s="14"/>
      <c r="E145" s="15"/>
      <c r="F145" s="15"/>
      <c r="G145" s="14"/>
      <c r="H145" s="13"/>
      <c r="I145" s="16" t="str">
        <f aca="false">IF($C145&lt;&gt;"","Actual orders",IF($D145&lt;&gt;"","Est. from traffic",IF($E145&lt;&gt;"","Est. from revenue","")))</f>
        <v/>
      </c>
      <c r="J145" s="17" t="str">
        <f aca="false">IF($C145&lt;&gt;"",$C145,IF($D145&lt;&gt;"",$D145*IFERROR(INDEX(Assumptions!$C$31:$C$42,MATCH($B145,Assumptions!$B$31:$B$42,0)),Assumptions!$C$19),IF($E145&lt;&gt;"",$E145*1000000/12/IF($F145&lt;&gt;"",$F145,IFERROR(INDEX(Assumptions!$D$31:$D$42,MATCH($B145,Assumptions!$B$31:$B$42,0)),Assumptions!$C$20)),"")))</f>
        <v/>
      </c>
      <c r="K145" s="17" t="str">
        <f aca="false">IF($J145="","",$J145/Assumptions!$C$27)</f>
        <v/>
      </c>
      <c r="L145" s="18" t="str">
        <f aca="false">IF($K145="","",MAX(Assumptions!$C$9*Assumptions!$C$25/($K145*Assumptions!$C$10),0))</f>
        <v/>
      </c>
      <c r="M145" s="18" t="str">
        <f aca="false">IF($K145="","",MAX(Assumptions!$C$9*Assumptions!$C$26/($K145*Assumptions!$C$10),0))</f>
        <v/>
      </c>
      <c r="N145" s="19" t="str">
        <f aca="false">IF($K145="","",MIN(Assumptions!$C$14,52/MAX(Assumptions!$C$9*Assumptions!$C$25/($K145*Assumptions!$C$10),Assumptions!$C$13)))</f>
        <v/>
      </c>
      <c r="O145" s="20" t="str">
        <f aca="false">IF($K145="","",IF($K145&gt;=Assumptions!$C$16,"Tier 1",IF($K145&gt;=Assumptions!$C$17,"Tier 2",IF(AND($G145&lt;&gt;"",$G145&gt;=Assumptions!$C$17),"Tier 3 — micro-conversion tests only","Tier 3"))))</f>
        <v/>
      </c>
      <c r="P145" s="16" t="str">
        <f aca="false">IF(O145="","",IF(LEFT(O145,6)="Tier 1","Pursue — offer trial; 2-week tests on purchase metrics",IF(LEFT(O145,6)="Tier 2","Qualify — trial on top-traffic pages only; bold tests (≥10% lift)",IF(O145="Tier 3","Don't trial A/B — nurture or sell non-testing services","Trial only if tests are scored on CTA clicks / leads, not purchases"))))</f>
        <v/>
      </c>
    </row>
    <row r="146" customFormat="false" ht="15" hidden="false" customHeight="false" outlineLevel="0" collapsed="false">
      <c r="A146" s="13"/>
      <c r="B146" s="13"/>
      <c r="C146" s="14"/>
      <c r="D146" s="14"/>
      <c r="E146" s="15"/>
      <c r="F146" s="15"/>
      <c r="G146" s="14"/>
      <c r="H146" s="13"/>
      <c r="I146" s="16" t="str">
        <f aca="false">IF($C146&lt;&gt;"","Actual orders",IF($D146&lt;&gt;"","Est. from traffic",IF($E146&lt;&gt;"","Est. from revenue","")))</f>
        <v/>
      </c>
      <c r="J146" s="17" t="str">
        <f aca="false">IF($C146&lt;&gt;"",$C146,IF($D146&lt;&gt;"",$D146*IFERROR(INDEX(Assumptions!$C$31:$C$42,MATCH($B146,Assumptions!$B$31:$B$42,0)),Assumptions!$C$19),IF($E146&lt;&gt;"",$E146*1000000/12/IF($F146&lt;&gt;"",$F146,IFERROR(INDEX(Assumptions!$D$31:$D$42,MATCH($B146,Assumptions!$B$31:$B$42,0)),Assumptions!$C$20)),"")))</f>
        <v/>
      </c>
      <c r="K146" s="17" t="str">
        <f aca="false">IF($J146="","",$J146/Assumptions!$C$27)</f>
        <v/>
      </c>
      <c r="L146" s="18" t="str">
        <f aca="false">IF($K146="","",MAX(Assumptions!$C$9*Assumptions!$C$25/($K146*Assumptions!$C$10),0))</f>
        <v/>
      </c>
      <c r="M146" s="18" t="str">
        <f aca="false">IF($K146="","",MAX(Assumptions!$C$9*Assumptions!$C$26/($K146*Assumptions!$C$10),0))</f>
        <v/>
      </c>
      <c r="N146" s="19" t="str">
        <f aca="false">IF($K146="","",MIN(Assumptions!$C$14,52/MAX(Assumptions!$C$9*Assumptions!$C$25/($K146*Assumptions!$C$10),Assumptions!$C$13)))</f>
        <v/>
      </c>
      <c r="O146" s="20" t="str">
        <f aca="false">IF($K146="","",IF($K146&gt;=Assumptions!$C$16,"Tier 1",IF($K146&gt;=Assumptions!$C$17,"Tier 2",IF(AND($G146&lt;&gt;"",$G146&gt;=Assumptions!$C$17),"Tier 3 — micro-conversion tests only","Tier 3"))))</f>
        <v/>
      </c>
      <c r="P146" s="16" t="str">
        <f aca="false">IF(O146="","",IF(LEFT(O146,6)="Tier 1","Pursue — offer trial; 2-week tests on purchase metrics",IF(LEFT(O146,6)="Tier 2","Qualify — trial on top-traffic pages only; bold tests (≥10% lift)",IF(O146="Tier 3","Don't trial A/B — nurture or sell non-testing services","Trial only if tests are scored on CTA clicks / leads, not purchases"))))</f>
        <v/>
      </c>
    </row>
    <row r="147" customFormat="false" ht="15" hidden="false" customHeight="false" outlineLevel="0" collapsed="false">
      <c r="A147" s="13"/>
      <c r="B147" s="13"/>
      <c r="C147" s="14"/>
      <c r="D147" s="14"/>
      <c r="E147" s="15"/>
      <c r="F147" s="15"/>
      <c r="G147" s="14"/>
      <c r="H147" s="13"/>
      <c r="I147" s="16" t="str">
        <f aca="false">IF($C147&lt;&gt;"","Actual orders",IF($D147&lt;&gt;"","Est. from traffic",IF($E147&lt;&gt;"","Est. from revenue","")))</f>
        <v/>
      </c>
      <c r="J147" s="17" t="str">
        <f aca="false">IF($C147&lt;&gt;"",$C147,IF($D147&lt;&gt;"",$D147*IFERROR(INDEX(Assumptions!$C$31:$C$42,MATCH($B147,Assumptions!$B$31:$B$42,0)),Assumptions!$C$19),IF($E147&lt;&gt;"",$E147*1000000/12/IF($F147&lt;&gt;"",$F147,IFERROR(INDEX(Assumptions!$D$31:$D$42,MATCH($B147,Assumptions!$B$31:$B$42,0)),Assumptions!$C$20)),"")))</f>
        <v/>
      </c>
      <c r="K147" s="17" t="str">
        <f aca="false">IF($J147="","",$J147/Assumptions!$C$27)</f>
        <v/>
      </c>
      <c r="L147" s="18" t="str">
        <f aca="false">IF($K147="","",MAX(Assumptions!$C$9*Assumptions!$C$25/($K147*Assumptions!$C$10),0))</f>
        <v/>
      </c>
      <c r="M147" s="18" t="str">
        <f aca="false">IF($K147="","",MAX(Assumptions!$C$9*Assumptions!$C$26/($K147*Assumptions!$C$10),0))</f>
        <v/>
      </c>
      <c r="N147" s="19" t="str">
        <f aca="false">IF($K147="","",MIN(Assumptions!$C$14,52/MAX(Assumptions!$C$9*Assumptions!$C$25/($K147*Assumptions!$C$10),Assumptions!$C$13)))</f>
        <v/>
      </c>
      <c r="O147" s="20" t="str">
        <f aca="false">IF($K147="","",IF($K147&gt;=Assumptions!$C$16,"Tier 1",IF($K147&gt;=Assumptions!$C$17,"Tier 2",IF(AND($G147&lt;&gt;"",$G147&gt;=Assumptions!$C$17),"Tier 3 — micro-conversion tests only","Tier 3"))))</f>
        <v/>
      </c>
      <c r="P147" s="16" t="str">
        <f aca="false">IF(O147="","",IF(LEFT(O147,6)="Tier 1","Pursue — offer trial; 2-week tests on purchase metrics",IF(LEFT(O147,6)="Tier 2","Qualify — trial on top-traffic pages only; bold tests (≥10% lift)",IF(O147="Tier 3","Don't trial A/B — nurture or sell non-testing services","Trial only if tests are scored on CTA clicks / leads, not purchases"))))</f>
        <v/>
      </c>
    </row>
    <row r="148" customFormat="false" ht="15" hidden="false" customHeight="false" outlineLevel="0" collapsed="false">
      <c r="A148" s="13"/>
      <c r="B148" s="13"/>
      <c r="C148" s="14"/>
      <c r="D148" s="14"/>
      <c r="E148" s="15"/>
      <c r="F148" s="15"/>
      <c r="G148" s="14"/>
      <c r="H148" s="13"/>
      <c r="I148" s="16" t="str">
        <f aca="false">IF($C148&lt;&gt;"","Actual orders",IF($D148&lt;&gt;"","Est. from traffic",IF($E148&lt;&gt;"","Est. from revenue","")))</f>
        <v/>
      </c>
      <c r="J148" s="17" t="str">
        <f aca="false">IF($C148&lt;&gt;"",$C148,IF($D148&lt;&gt;"",$D148*IFERROR(INDEX(Assumptions!$C$31:$C$42,MATCH($B148,Assumptions!$B$31:$B$42,0)),Assumptions!$C$19),IF($E148&lt;&gt;"",$E148*1000000/12/IF($F148&lt;&gt;"",$F148,IFERROR(INDEX(Assumptions!$D$31:$D$42,MATCH($B148,Assumptions!$B$31:$B$42,0)),Assumptions!$C$20)),"")))</f>
        <v/>
      </c>
      <c r="K148" s="17" t="str">
        <f aca="false">IF($J148="","",$J148/Assumptions!$C$27)</f>
        <v/>
      </c>
      <c r="L148" s="18" t="str">
        <f aca="false">IF($K148="","",MAX(Assumptions!$C$9*Assumptions!$C$25/($K148*Assumptions!$C$10),0))</f>
        <v/>
      </c>
      <c r="M148" s="18" t="str">
        <f aca="false">IF($K148="","",MAX(Assumptions!$C$9*Assumptions!$C$26/($K148*Assumptions!$C$10),0))</f>
        <v/>
      </c>
      <c r="N148" s="19" t="str">
        <f aca="false">IF($K148="","",MIN(Assumptions!$C$14,52/MAX(Assumptions!$C$9*Assumptions!$C$25/($K148*Assumptions!$C$10),Assumptions!$C$13)))</f>
        <v/>
      </c>
      <c r="O148" s="20" t="str">
        <f aca="false">IF($K148="","",IF($K148&gt;=Assumptions!$C$16,"Tier 1",IF($K148&gt;=Assumptions!$C$17,"Tier 2",IF(AND($G148&lt;&gt;"",$G148&gt;=Assumptions!$C$17),"Tier 3 — micro-conversion tests only","Tier 3"))))</f>
        <v/>
      </c>
      <c r="P148" s="16" t="str">
        <f aca="false">IF(O148="","",IF(LEFT(O148,6)="Tier 1","Pursue — offer trial; 2-week tests on purchase metrics",IF(LEFT(O148,6)="Tier 2","Qualify — trial on top-traffic pages only; bold tests (≥10% lift)",IF(O148="Tier 3","Don't trial A/B — nurture or sell non-testing services","Trial only if tests are scored on CTA clicks / leads, not purchases"))))</f>
        <v/>
      </c>
    </row>
    <row r="149" customFormat="false" ht="15" hidden="false" customHeight="false" outlineLevel="0" collapsed="false">
      <c r="A149" s="13"/>
      <c r="B149" s="13"/>
      <c r="C149" s="14"/>
      <c r="D149" s="14"/>
      <c r="E149" s="15"/>
      <c r="F149" s="15"/>
      <c r="G149" s="14"/>
      <c r="H149" s="13"/>
      <c r="I149" s="16" t="str">
        <f aca="false">IF($C149&lt;&gt;"","Actual orders",IF($D149&lt;&gt;"","Est. from traffic",IF($E149&lt;&gt;"","Est. from revenue","")))</f>
        <v/>
      </c>
      <c r="J149" s="17" t="str">
        <f aca="false">IF($C149&lt;&gt;"",$C149,IF($D149&lt;&gt;"",$D149*IFERROR(INDEX(Assumptions!$C$31:$C$42,MATCH($B149,Assumptions!$B$31:$B$42,0)),Assumptions!$C$19),IF($E149&lt;&gt;"",$E149*1000000/12/IF($F149&lt;&gt;"",$F149,IFERROR(INDEX(Assumptions!$D$31:$D$42,MATCH($B149,Assumptions!$B$31:$B$42,0)),Assumptions!$C$20)),"")))</f>
        <v/>
      </c>
      <c r="K149" s="17" t="str">
        <f aca="false">IF($J149="","",$J149/Assumptions!$C$27)</f>
        <v/>
      </c>
      <c r="L149" s="18" t="str">
        <f aca="false">IF($K149="","",MAX(Assumptions!$C$9*Assumptions!$C$25/($K149*Assumptions!$C$10),0))</f>
        <v/>
      </c>
      <c r="M149" s="18" t="str">
        <f aca="false">IF($K149="","",MAX(Assumptions!$C$9*Assumptions!$C$26/($K149*Assumptions!$C$10),0))</f>
        <v/>
      </c>
      <c r="N149" s="19" t="str">
        <f aca="false">IF($K149="","",MIN(Assumptions!$C$14,52/MAX(Assumptions!$C$9*Assumptions!$C$25/($K149*Assumptions!$C$10),Assumptions!$C$13)))</f>
        <v/>
      </c>
      <c r="O149" s="20" t="str">
        <f aca="false">IF($K149="","",IF($K149&gt;=Assumptions!$C$16,"Tier 1",IF($K149&gt;=Assumptions!$C$17,"Tier 2",IF(AND($G149&lt;&gt;"",$G149&gt;=Assumptions!$C$17),"Tier 3 — micro-conversion tests only","Tier 3"))))</f>
        <v/>
      </c>
      <c r="P149" s="16" t="str">
        <f aca="false">IF(O149="","",IF(LEFT(O149,6)="Tier 1","Pursue — offer trial; 2-week tests on purchase metrics",IF(LEFT(O149,6)="Tier 2","Qualify — trial on top-traffic pages only; bold tests (≥10% lift)",IF(O149="Tier 3","Don't trial A/B — nurture or sell non-testing services","Trial only if tests are scored on CTA clicks / leads, not purchases"))))</f>
        <v/>
      </c>
    </row>
    <row r="150" customFormat="false" ht="15" hidden="false" customHeight="false" outlineLevel="0" collapsed="false">
      <c r="A150" s="13"/>
      <c r="B150" s="13"/>
      <c r="C150" s="14"/>
      <c r="D150" s="14"/>
      <c r="E150" s="15"/>
      <c r="F150" s="15"/>
      <c r="G150" s="14"/>
      <c r="H150" s="13"/>
      <c r="I150" s="16" t="str">
        <f aca="false">IF($C150&lt;&gt;"","Actual orders",IF($D150&lt;&gt;"","Est. from traffic",IF($E150&lt;&gt;"","Est. from revenue","")))</f>
        <v/>
      </c>
      <c r="J150" s="17" t="str">
        <f aca="false">IF($C150&lt;&gt;"",$C150,IF($D150&lt;&gt;"",$D150*IFERROR(INDEX(Assumptions!$C$31:$C$42,MATCH($B150,Assumptions!$B$31:$B$42,0)),Assumptions!$C$19),IF($E150&lt;&gt;"",$E150*1000000/12/IF($F150&lt;&gt;"",$F150,IFERROR(INDEX(Assumptions!$D$31:$D$42,MATCH($B150,Assumptions!$B$31:$B$42,0)),Assumptions!$C$20)),"")))</f>
        <v/>
      </c>
      <c r="K150" s="17" t="str">
        <f aca="false">IF($J150="","",$J150/Assumptions!$C$27)</f>
        <v/>
      </c>
      <c r="L150" s="18" t="str">
        <f aca="false">IF($K150="","",MAX(Assumptions!$C$9*Assumptions!$C$25/($K150*Assumptions!$C$10),0))</f>
        <v/>
      </c>
      <c r="M150" s="18" t="str">
        <f aca="false">IF($K150="","",MAX(Assumptions!$C$9*Assumptions!$C$26/($K150*Assumptions!$C$10),0))</f>
        <v/>
      </c>
      <c r="N150" s="19" t="str">
        <f aca="false">IF($K150="","",MIN(Assumptions!$C$14,52/MAX(Assumptions!$C$9*Assumptions!$C$25/($K150*Assumptions!$C$10),Assumptions!$C$13)))</f>
        <v/>
      </c>
      <c r="O150" s="20" t="str">
        <f aca="false">IF($K150="","",IF($K150&gt;=Assumptions!$C$16,"Tier 1",IF($K150&gt;=Assumptions!$C$17,"Tier 2",IF(AND($G150&lt;&gt;"",$G150&gt;=Assumptions!$C$17),"Tier 3 — micro-conversion tests only","Tier 3"))))</f>
        <v/>
      </c>
      <c r="P150" s="16" t="str">
        <f aca="false">IF(O150="","",IF(LEFT(O150,6)="Tier 1","Pursue — offer trial; 2-week tests on purchase metrics",IF(LEFT(O150,6)="Tier 2","Qualify — trial on top-traffic pages only; bold tests (≥10% lift)",IF(O150="Tier 3","Don't trial A/B — nurture or sell non-testing services","Trial only if tests are scored on CTA clicks / leads, not purchases"))))</f>
        <v/>
      </c>
    </row>
    <row r="151" customFormat="false" ht="15" hidden="false" customHeight="false" outlineLevel="0" collapsed="false">
      <c r="A151" s="13"/>
      <c r="B151" s="13"/>
      <c r="C151" s="14"/>
      <c r="D151" s="14"/>
      <c r="E151" s="15"/>
      <c r="F151" s="15"/>
      <c r="G151" s="14"/>
      <c r="H151" s="13"/>
      <c r="I151" s="16" t="str">
        <f aca="false">IF($C151&lt;&gt;"","Actual orders",IF($D151&lt;&gt;"","Est. from traffic",IF($E151&lt;&gt;"","Est. from revenue","")))</f>
        <v/>
      </c>
      <c r="J151" s="17" t="str">
        <f aca="false">IF($C151&lt;&gt;"",$C151,IF($D151&lt;&gt;"",$D151*IFERROR(INDEX(Assumptions!$C$31:$C$42,MATCH($B151,Assumptions!$B$31:$B$42,0)),Assumptions!$C$19),IF($E151&lt;&gt;"",$E151*1000000/12/IF($F151&lt;&gt;"",$F151,IFERROR(INDEX(Assumptions!$D$31:$D$42,MATCH($B151,Assumptions!$B$31:$B$42,0)),Assumptions!$C$20)),"")))</f>
        <v/>
      </c>
      <c r="K151" s="17" t="str">
        <f aca="false">IF($J151="","",$J151/Assumptions!$C$27)</f>
        <v/>
      </c>
      <c r="L151" s="18" t="str">
        <f aca="false">IF($K151="","",MAX(Assumptions!$C$9*Assumptions!$C$25/($K151*Assumptions!$C$10),0))</f>
        <v/>
      </c>
      <c r="M151" s="18" t="str">
        <f aca="false">IF($K151="","",MAX(Assumptions!$C$9*Assumptions!$C$26/($K151*Assumptions!$C$10),0))</f>
        <v/>
      </c>
      <c r="N151" s="19" t="str">
        <f aca="false">IF($K151="","",MIN(Assumptions!$C$14,52/MAX(Assumptions!$C$9*Assumptions!$C$25/($K151*Assumptions!$C$10),Assumptions!$C$13)))</f>
        <v/>
      </c>
      <c r="O151" s="20" t="str">
        <f aca="false">IF($K151="","",IF($K151&gt;=Assumptions!$C$16,"Tier 1",IF($K151&gt;=Assumptions!$C$17,"Tier 2",IF(AND($G151&lt;&gt;"",$G151&gt;=Assumptions!$C$17),"Tier 3 — micro-conversion tests only","Tier 3"))))</f>
        <v/>
      </c>
      <c r="P151" s="16" t="str">
        <f aca="false">IF(O151="","",IF(LEFT(O151,6)="Tier 1","Pursue — offer trial; 2-week tests on purchase metrics",IF(LEFT(O151,6)="Tier 2","Qualify — trial on top-traffic pages only; bold tests (≥10% lift)",IF(O151="Tier 3","Don't trial A/B — nurture or sell non-testing services","Trial only if tests are scored on CTA clicks / leads, not purchases"))))</f>
        <v/>
      </c>
    </row>
    <row r="152" customFormat="false" ht="15" hidden="false" customHeight="false" outlineLevel="0" collapsed="false">
      <c r="A152" s="13"/>
      <c r="B152" s="13"/>
      <c r="C152" s="14"/>
      <c r="D152" s="14"/>
      <c r="E152" s="15"/>
      <c r="F152" s="15"/>
      <c r="G152" s="14"/>
      <c r="H152" s="13"/>
      <c r="I152" s="16" t="str">
        <f aca="false">IF($C152&lt;&gt;"","Actual orders",IF($D152&lt;&gt;"","Est. from traffic",IF($E152&lt;&gt;"","Est. from revenue","")))</f>
        <v/>
      </c>
      <c r="J152" s="17" t="str">
        <f aca="false">IF($C152&lt;&gt;"",$C152,IF($D152&lt;&gt;"",$D152*IFERROR(INDEX(Assumptions!$C$31:$C$42,MATCH($B152,Assumptions!$B$31:$B$42,0)),Assumptions!$C$19),IF($E152&lt;&gt;"",$E152*1000000/12/IF($F152&lt;&gt;"",$F152,IFERROR(INDEX(Assumptions!$D$31:$D$42,MATCH($B152,Assumptions!$B$31:$B$42,0)),Assumptions!$C$20)),"")))</f>
        <v/>
      </c>
      <c r="K152" s="17" t="str">
        <f aca="false">IF($J152="","",$J152/Assumptions!$C$27)</f>
        <v/>
      </c>
      <c r="L152" s="18" t="str">
        <f aca="false">IF($K152="","",MAX(Assumptions!$C$9*Assumptions!$C$25/($K152*Assumptions!$C$10),0))</f>
        <v/>
      </c>
      <c r="M152" s="18" t="str">
        <f aca="false">IF($K152="","",MAX(Assumptions!$C$9*Assumptions!$C$26/($K152*Assumptions!$C$10),0))</f>
        <v/>
      </c>
      <c r="N152" s="19" t="str">
        <f aca="false">IF($K152="","",MIN(Assumptions!$C$14,52/MAX(Assumptions!$C$9*Assumptions!$C$25/($K152*Assumptions!$C$10),Assumptions!$C$13)))</f>
        <v/>
      </c>
      <c r="O152" s="20" t="str">
        <f aca="false">IF($K152="","",IF($K152&gt;=Assumptions!$C$16,"Tier 1",IF($K152&gt;=Assumptions!$C$17,"Tier 2",IF(AND($G152&lt;&gt;"",$G152&gt;=Assumptions!$C$17),"Tier 3 — micro-conversion tests only","Tier 3"))))</f>
        <v/>
      </c>
      <c r="P152" s="16" t="str">
        <f aca="false">IF(O152="","",IF(LEFT(O152,6)="Tier 1","Pursue — offer trial; 2-week tests on purchase metrics",IF(LEFT(O152,6)="Tier 2","Qualify — trial on top-traffic pages only; bold tests (≥10% lift)",IF(O152="Tier 3","Don't trial A/B — nurture or sell non-testing services","Trial only if tests are scored on CTA clicks / leads, not purchases"))))</f>
        <v/>
      </c>
    </row>
    <row r="153" customFormat="false" ht="15" hidden="false" customHeight="false" outlineLevel="0" collapsed="false">
      <c r="A153" s="13"/>
      <c r="B153" s="13"/>
      <c r="C153" s="14"/>
      <c r="D153" s="14"/>
      <c r="E153" s="15"/>
      <c r="F153" s="15"/>
      <c r="G153" s="14"/>
      <c r="H153" s="13"/>
      <c r="I153" s="16" t="str">
        <f aca="false">IF($C153&lt;&gt;"","Actual orders",IF($D153&lt;&gt;"","Est. from traffic",IF($E153&lt;&gt;"","Est. from revenue","")))</f>
        <v/>
      </c>
      <c r="J153" s="17" t="str">
        <f aca="false">IF($C153&lt;&gt;"",$C153,IF($D153&lt;&gt;"",$D153*IFERROR(INDEX(Assumptions!$C$31:$C$42,MATCH($B153,Assumptions!$B$31:$B$42,0)),Assumptions!$C$19),IF($E153&lt;&gt;"",$E153*1000000/12/IF($F153&lt;&gt;"",$F153,IFERROR(INDEX(Assumptions!$D$31:$D$42,MATCH($B153,Assumptions!$B$31:$B$42,0)),Assumptions!$C$20)),"")))</f>
        <v/>
      </c>
      <c r="K153" s="17" t="str">
        <f aca="false">IF($J153="","",$J153/Assumptions!$C$27)</f>
        <v/>
      </c>
      <c r="L153" s="18" t="str">
        <f aca="false">IF($K153="","",MAX(Assumptions!$C$9*Assumptions!$C$25/($K153*Assumptions!$C$10),0))</f>
        <v/>
      </c>
      <c r="M153" s="18" t="str">
        <f aca="false">IF($K153="","",MAX(Assumptions!$C$9*Assumptions!$C$26/($K153*Assumptions!$C$10),0))</f>
        <v/>
      </c>
      <c r="N153" s="19" t="str">
        <f aca="false">IF($K153="","",MIN(Assumptions!$C$14,52/MAX(Assumptions!$C$9*Assumptions!$C$25/($K153*Assumptions!$C$10),Assumptions!$C$13)))</f>
        <v/>
      </c>
      <c r="O153" s="20" t="str">
        <f aca="false">IF($K153="","",IF($K153&gt;=Assumptions!$C$16,"Tier 1",IF($K153&gt;=Assumptions!$C$17,"Tier 2",IF(AND($G153&lt;&gt;"",$G153&gt;=Assumptions!$C$17),"Tier 3 — micro-conversion tests only","Tier 3"))))</f>
        <v/>
      </c>
      <c r="P153" s="16" t="str">
        <f aca="false">IF(O153="","",IF(LEFT(O153,6)="Tier 1","Pursue — offer trial; 2-week tests on purchase metrics",IF(LEFT(O153,6)="Tier 2","Qualify — trial on top-traffic pages only; bold tests (≥10% lift)",IF(O153="Tier 3","Don't trial A/B — nurture or sell non-testing services","Trial only if tests are scored on CTA clicks / leads, not purchases"))))</f>
        <v/>
      </c>
    </row>
    <row r="154" customFormat="false" ht="15" hidden="false" customHeight="false" outlineLevel="0" collapsed="false">
      <c r="A154" s="13"/>
      <c r="B154" s="13"/>
      <c r="C154" s="14"/>
      <c r="D154" s="14"/>
      <c r="E154" s="15"/>
      <c r="F154" s="15"/>
      <c r="G154" s="14"/>
      <c r="H154" s="13"/>
      <c r="I154" s="16" t="str">
        <f aca="false">IF($C154&lt;&gt;"","Actual orders",IF($D154&lt;&gt;"","Est. from traffic",IF($E154&lt;&gt;"","Est. from revenue","")))</f>
        <v/>
      </c>
      <c r="J154" s="17" t="str">
        <f aca="false">IF($C154&lt;&gt;"",$C154,IF($D154&lt;&gt;"",$D154*IFERROR(INDEX(Assumptions!$C$31:$C$42,MATCH($B154,Assumptions!$B$31:$B$42,0)),Assumptions!$C$19),IF($E154&lt;&gt;"",$E154*1000000/12/IF($F154&lt;&gt;"",$F154,IFERROR(INDEX(Assumptions!$D$31:$D$42,MATCH($B154,Assumptions!$B$31:$B$42,0)),Assumptions!$C$20)),"")))</f>
        <v/>
      </c>
      <c r="K154" s="17" t="str">
        <f aca="false">IF($J154="","",$J154/Assumptions!$C$27)</f>
        <v/>
      </c>
      <c r="L154" s="18" t="str">
        <f aca="false">IF($K154="","",MAX(Assumptions!$C$9*Assumptions!$C$25/($K154*Assumptions!$C$10),0))</f>
        <v/>
      </c>
      <c r="M154" s="18" t="str">
        <f aca="false">IF($K154="","",MAX(Assumptions!$C$9*Assumptions!$C$26/($K154*Assumptions!$C$10),0))</f>
        <v/>
      </c>
      <c r="N154" s="19" t="str">
        <f aca="false">IF($K154="","",MIN(Assumptions!$C$14,52/MAX(Assumptions!$C$9*Assumptions!$C$25/($K154*Assumptions!$C$10),Assumptions!$C$13)))</f>
        <v/>
      </c>
      <c r="O154" s="20" t="str">
        <f aca="false">IF($K154="","",IF($K154&gt;=Assumptions!$C$16,"Tier 1",IF($K154&gt;=Assumptions!$C$17,"Tier 2",IF(AND($G154&lt;&gt;"",$G154&gt;=Assumptions!$C$17),"Tier 3 — micro-conversion tests only","Tier 3"))))</f>
        <v/>
      </c>
      <c r="P154" s="16" t="str">
        <f aca="false">IF(O154="","",IF(LEFT(O154,6)="Tier 1","Pursue — offer trial; 2-week tests on purchase metrics",IF(LEFT(O154,6)="Tier 2","Qualify — trial on top-traffic pages only; bold tests (≥10% lift)",IF(O154="Tier 3","Don't trial A/B — nurture or sell non-testing services","Trial only if tests are scored on CTA clicks / leads, not purchases"))))</f>
        <v/>
      </c>
    </row>
    <row r="155" customFormat="false" ht="15" hidden="false" customHeight="false" outlineLevel="0" collapsed="false">
      <c r="A155" s="13"/>
      <c r="B155" s="13"/>
      <c r="C155" s="14"/>
      <c r="D155" s="14"/>
      <c r="E155" s="15"/>
      <c r="F155" s="15"/>
      <c r="G155" s="14"/>
      <c r="H155" s="13"/>
      <c r="I155" s="16" t="str">
        <f aca="false">IF($C155&lt;&gt;"","Actual orders",IF($D155&lt;&gt;"","Est. from traffic",IF($E155&lt;&gt;"","Est. from revenue","")))</f>
        <v/>
      </c>
      <c r="J155" s="17" t="str">
        <f aca="false">IF($C155&lt;&gt;"",$C155,IF($D155&lt;&gt;"",$D155*IFERROR(INDEX(Assumptions!$C$31:$C$42,MATCH($B155,Assumptions!$B$31:$B$42,0)),Assumptions!$C$19),IF($E155&lt;&gt;"",$E155*1000000/12/IF($F155&lt;&gt;"",$F155,IFERROR(INDEX(Assumptions!$D$31:$D$42,MATCH($B155,Assumptions!$B$31:$B$42,0)),Assumptions!$C$20)),"")))</f>
        <v/>
      </c>
      <c r="K155" s="17" t="str">
        <f aca="false">IF($J155="","",$J155/Assumptions!$C$27)</f>
        <v/>
      </c>
      <c r="L155" s="18" t="str">
        <f aca="false">IF($K155="","",MAX(Assumptions!$C$9*Assumptions!$C$25/($K155*Assumptions!$C$10),0))</f>
        <v/>
      </c>
      <c r="M155" s="18" t="str">
        <f aca="false">IF($K155="","",MAX(Assumptions!$C$9*Assumptions!$C$26/($K155*Assumptions!$C$10),0))</f>
        <v/>
      </c>
      <c r="N155" s="19" t="str">
        <f aca="false">IF($K155="","",MIN(Assumptions!$C$14,52/MAX(Assumptions!$C$9*Assumptions!$C$25/($K155*Assumptions!$C$10),Assumptions!$C$13)))</f>
        <v/>
      </c>
      <c r="O155" s="20" t="str">
        <f aca="false">IF($K155="","",IF($K155&gt;=Assumptions!$C$16,"Tier 1",IF($K155&gt;=Assumptions!$C$17,"Tier 2",IF(AND($G155&lt;&gt;"",$G155&gt;=Assumptions!$C$17),"Tier 3 — micro-conversion tests only","Tier 3"))))</f>
        <v/>
      </c>
      <c r="P155" s="16" t="str">
        <f aca="false">IF(O155="","",IF(LEFT(O155,6)="Tier 1","Pursue — offer trial; 2-week tests on purchase metrics",IF(LEFT(O155,6)="Tier 2","Qualify — trial on top-traffic pages only; bold tests (≥10% lift)",IF(O155="Tier 3","Don't trial A/B — nurture or sell non-testing services","Trial only if tests are scored on CTA clicks / leads, not purchases"))))</f>
        <v/>
      </c>
    </row>
    <row r="156" customFormat="false" ht="15" hidden="false" customHeight="false" outlineLevel="0" collapsed="false">
      <c r="A156" s="13"/>
      <c r="B156" s="13"/>
      <c r="C156" s="14"/>
      <c r="D156" s="14"/>
      <c r="E156" s="15"/>
      <c r="F156" s="15"/>
      <c r="G156" s="14"/>
      <c r="H156" s="13"/>
      <c r="I156" s="16" t="str">
        <f aca="false">IF($C156&lt;&gt;"","Actual orders",IF($D156&lt;&gt;"","Est. from traffic",IF($E156&lt;&gt;"","Est. from revenue","")))</f>
        <v/>
      </c>
      <c r="J156" s="17" t="str">
        <f aca="false">IF($C156&lt;&gt;"",$C156,IF($D156&lt;&gt;"",$D156*IFERROR(INDEX(Assumptions!$C$31:$C$42,MATCH($B156,Assumptions!$B$31:$B$42,0)),Assumptions!$C$19),IF($E156&lt;&gt;"",$E156*1000000/12/IF($F156&lt;&gt;"",$F156,IFERROR(INDEX(Assumptions!$D$31:$D$42,MATCH($B156,Assumptions!$B$31:$B$42,0)),Assumptions!$C$20)),"")))</f>
        <v/>
      </c>
      <c r="K156" s="17" t="str">
        <f aca="false">IF($J156="","",$J156/Assumptions!$C$27)</f>
        <v/>
      </c>
      <c r="L156" s="18" t="str">
        <f aca="false">IF($K156="","",MAX(Assumptions!$C$9*Assumptions!$C$25/($K156*Assumptions!$C$10),0))</f>
        <v/>
      </c>
      <c r="M156" s="18" t="str">
        <f aca="false">IF($K156="","",MAX(Assumptions!$C$9*Assumptions!$C$26/($K156*Assumptions!$C$10),0))</f>
        <v/>
      </c>
      <c r="N156" s="19" t="str">
        <f aca="false">IF($K156="","",MIN(Assumptions!$C$14,52/MAX(Assumptions!$C$9*Assumptions!$C$25/($K156*Assumptions!$C$10),Assumptions!$C$13)))</f>
        <v/>
      </c>
      <c r="O156" s="20" t="str">
        <f aca="false">IF($K156="","",IF($K156&gt;=Assumptions!$C$16,"Tier 1",IF($K156&gt;=Assumptions!$C$17,"Tier 2",IF(AND($G156&lt;&gt;"",$G156&gt;=Assumptions!$C$17),"Tier 3 — micro-conversion tests only","Tier 3"))))</f>
        <v/>
      </c>
      <c r="P156" s="16" t="str">
        <f aca="false">IF(O156="","",IF(LEFT(O156,6)="Tier 1","Pursue — offer trial; 2-week tests on purchase metrics",IF(LEFT(O156,6)="Tier 2","Qualify — trial on top-traffic pages only; bold tests (≥10% lift)",IF(O156="Tier 3","Don't trial A/B — nurture or sell non-testing services","Trial only if tests are scored on CTA clicks / leads, not purchases"))))</f>
        <v/>
      </c>
    </row>
    <row r="157" customFormat="false" ht="15" hidden="false" customHeight="false" outlineLevel="0" collapsed="false">
      <c r="A157" s="13"/>
      <c r="B157" s="13"/>
      <c r="C157" s="14"/>
      <c r="D157" s="14"/>
      <c r="E157" s="15"/>
      <c r="F157" s="15"/>
      <c r="G157" s="14"/>
      <c r="H157" s="13"/>
      <c r="I157" s="16" t="str">
        <f aca="false">IF($C157&lt;&gt;"","Actual orders",IF($D157&lt;&gt;"","Est. from traffic",IF($E157&lt;&gt;"","Est. from revenue","")))</f>
        <v/>
      </c>
      <c r="J157" s="17" t="str">
        <f aca="false">IF($C157&lt;&gt;"",$C157,IF($D157&lt;&gt;"",$D157*IFERROR(INDEX(Assumptions!$C$31:$C$42,MATCH($B157,Assumptions!$B$31:$B$42,0)),Assumptions!$C$19),IF($E157&lt;&gt;"",$E157*1000000/12/IF($F157&lt;&gt;"",$F157,IFERROR(INDEX(Assumptions!$D$31:$D$42,MATCH($B157,Assumptions!$B$31:$B$42,0)),Assumptions!$C$20)),"")))</f>
        <v/>
      </c>
      <c r="K157" s="17" t="str">
        <f aca="false">IF($J157="","",$J157/Assumptions!$C$27)</f>
        <v/>
      </c>
      <c r="L157" s="18" t="str">
        <f aca="false">IF($K157="","",MAX(Assumptions!$C$9*Assumptions!$C$25/($K157*Assumptions!$C$10),0))</f>
        <v/>
      </c>
      <c r="M157" s="18" t="str">
        <f aca="false">IF($K157="","",MAX(Assumptions!$C$9*Assumptions!$C$26/($K157*Assumptions!$C$10),0))</f>
        <v/>
      </c>
      <c r="N157" s="19" t="str">
        <f aca="false">IF($K157="","",MIN(Assumptions!$C$14,52/MAX(Assumptions!$C$9*Assumptions!$C$25/($K157*Assumptions!$C$10),Assumptions!$C$13)))</f>
        <v/>
      </c>
      <c r="O157" s="20" t="str">
        <f aca="false">IF($K157="","",IF($K157&gt;=Assumptions!$C$16,"Tier 1",IF($K157&gt;=Assumptions!$C$17,"Tier 2",IF(AND($G157&lt;&gt;"",$G157&gt;=Assumptions!$C$17),"Tier 3 — micro-conversion tests only","Tier 3"))))</f>
        <v/>
      </c>
      <c r="P157" s="16" t="str">
        <f aca="false">IF(O157="","",IF(LEFT(O157,6)="Tier 1","Pursue — offer trial; 2-week tests on purchase metrics",IF(LEFT(O157,6)="Tier 2","Qualify — trial on top-traffic pages only; bold tests (≥10% lift)",IF(O157="Tier 3","Don't trial A/B — nurture or sell non-testing services","Trial only if tests are scored on CTA clicks / leads, not purchases"))))</f>
        <v/>
      </c>
    </row>
    <row r="158" customFormat="false" ht="15" hidden="false" customHeight="false" outlineLevel="0" collapsed="false">
      <c r="A158" s="13"/>
      <c r="B158" s="13"/>
      <c r="C158" s="14"/>
      <c r="D158" s="14"/>
      <c r="E158" s="15"/>
      <c r="F158" s="15"/>
      <c r="G158" s="14"/>
      <c r="H158" s="13"/>
      <c r="I158" s="16" t="str">
        <f aca="false">IF($C158&lt;&gt;"","Actual orders",IF($D158&lt;&gt;"","Est. from traffic",IF($E158&lt;&gt;"","Est. from revenue","")))</f>
        <v/>
      </c>
      <c r="J158" s="17" t="str">
        <f aca="false">IF($C158&lt;&gt;"",$C158,IF($D158&lt;&gt;"",$D158*IFERROR(INDEX(Assumptions!$C$31:$C$42,MATCH($B158,Assumptions!$B$31:$B$42,0)),Assumptions!$C$19),IF($E158&lt;&gt;"",$E158*1000000/12/IF($F158&lt;&gt;"",$F158,IFERROR(INDEX(Assumptions!$D$31:$D$42,MATCH($B158,Assumptions!$B$31:$B$42,0)),Assumptions!$C$20)),"")))</f>
        <v/>
      </c>
      <c r="K158" s="17" t="str">
        <f aca="false">IF($J158="","",$J158/Assumptions!$C$27)</f>
        <v/>
      </c>
      <c r="L158" s="18" t="str">
        <f aca="false">IF($K158="","",MAX(Assumptions!$C$9*Assumptions!$C$25/($K158*Assumptions!$C$10),0))</f>
        <v/>
      </c>
      <c r="M158" s="18" t="str">
        <f aca="false">IF($K158="","",MAX(Assumptions!$C$9*Assumptions!$C$26/($K158*Assumptions!$C$10),0))</f>
        <v/>
      </c>
      <c r="N158" s="19" t="str">
        <f aca="false">IF($K158="","",MIN(Assumptions!$C$14,52/MAX(Assumptions!$C$9*Assumptions!$C$25/($K158*Assumptions!$C$10),Assumptions!$C$13)))</f>
        <v/>
      </c>
      <c r="O158" s="20" t="str">
        <f aca="false">IF($K158="","",IF($K158&gt;=Assumptions!$C$16,"Tier 1",IF($K158&gt;=Assumptions!$C$17,"Tier 2",IF(AND($G158&lt;&gt;"",$G158&gt;=Assumptions!$C$17),"Tier 3 — micro-conversion tests only","Tier 3"))))</f>
        <v/>
      </c>
      <c r="P158" s="16" t="str">
        <f aca="false">IF(O158="","",IF(LEFT(O158,6)="Tier 1","Pursue — offer trial; 2-week tests on purchase metrics",IF(LEFT(O158,6)="Tier 2","Qualify — trial on top-traffic pages only; bold tests (≥10% lift)",IF(O158="Tier 3","Don't trial A/B — nurture or sell non-testing services","Trial only if tests are scored on CTA clicks / leads, not purchases"))))</f>
        <v/>
      </c>
    </row>
    <row r="159" customFormat="false" ht="15" hidden="false" customHeight="false" outlineLevel="0" collapsed="false">
      <c r="A159" s="13"/>
      <c r="B159" s="13"/>
      <c r="C159" s="14"/>
      <c r="D159" s="14"/>
      <c r="E159" s="15"/>
      <c r="F159" s="15"/>
      <c r="G159" s="14"/>
      <c r="H159" s="13"/>
      <c r="I159" s="16" t="str">
        <f aca="false">IF($C159&lt;&gt;"","Actual orders",IF($D159&lt;&gt;"","Est. from traffic",IF($E159&lt;&gt;"","Est. from revenue","")))</f>
        <v/>
      </c>
      <c r="J159" s="17" t="str">
        <f aca="false">IF($C159&lt;&gt;"",$C159,IF($D159&lt;&gt;"",$D159*IFERROR(INDEX(Assumptions!$C$31:$C$42,MATCH($B159,Assumptions!$B$31:$B$42,0)),Assumptions!$C$19),IF($E159&lt;&gt;"",$E159*1000000/12/IF($F159&lt;&gt;"",$F159,IFERROR(INDEX(Assumptions!$D$31:$D$42,MATCH($B159,Assumptions!$B$31:$B$42,0)),Assumptions!$C$20)),"")))</f>
        <v/>
      </c>
      <c r="K159" s="17" t="str">
        <f aca="false">IF($J159="","",$J159/Assumptions!$C$27)</f>
        <v/>
      </c>
      <c r="L159" s="18" t="str">
        <f aca="false">IF($K159="","",MAX(Assumptions!$C$9*Assumptions!$C$25/($K159*Assumptions!$C$10),0))</f>
        <v/>
      </c>
      <c r="M159" s="18" t="str">
        <f aca="false">IF($K159="","",MAX(Assumptions!$C$9*Assumptions!$C$26/($K159*Assumptions!$C$10),0))</f>
        <v/>
      </c>
      <c r="N159" s="19" t="str">
        <f aca="false">IF($K159="","",MIN(Assumptions!$C$14,52/MAX(Assumptions!$C$9*Assumptions!$C$25/($K159*Assumptions!$C$10),Assumptions!$C$13)))</f>
        <v/>
      </c>
      <c r="O159" s="20" t="str">
        <f aca="false">IF($K159="","",IF($K159&gt;=Assumptions!$C$16,"Tier 1",IF($K159&gt;=Assumptions!$C$17,"Tier 2",IF(AND($G159&lt;&gt;"",$G159&gt;=Assumptions!$C$17),"Tier 3 — micro-conversion tests only","Tier 3"))))</f>
        <v/>
      </c>
      <c r="P159" s="16" t="str">
        <f aca="false">IF(O159="","",IF(LEFT(O159,6)="Tier 1","Pursue — offer trial; 2-week tests on purchase metrics",IF(LEFT(O159,6)="Tier 2","Qualify — trial on top-traffic pages only; bold tests (≥10% lift)",IF(O159="Tier 3","Don't trial A/B — nurture or sell non-testing services","Trial only if tests are scored on CTA clicks / leads, not purchases"))))</f>
        <v/>
      </c>
    </row>
    <row r="160" customFormat="false" ht="15" hidden="false" customHeight="false" outlineLevel="0" collapsed="false">
      <c r="A160" s="13"/>
      <c r="B160" s="13"/>
      <c r="C160" s="14"/>
      <c r="D160" s="14"/>
      <c r="E160" s="15"/>
      <c r="F160" s="15"/>
      <c r="G160" s="14"/>
      <c r="H160" s="13"/>
      <c r="I160" s="16" t="str">
        <f aca="false">IF($C160&lt;&gt;"","Actual orders",IF($D160&lt;&gt;"","Est. from traffic",IF($E160&lt;&gt;"","Est. from revenue","")))</f>
        <v/>
      </c>
      <c r="J160" s="17" t="str">
        <f aca="false">IF($C160&lt;&gt;"",$C160,IF($D160&lt;&gt;"",$D160*IFERROR(INDEX(Assumptions!$C$31:$C$42,MATCH($B160,Assumptions!$B$31:$B$42,0)),Assumptions!$C$19),IF($E160&lt;&gt;"",$E160*1000000/12/IF($F160&lt;&gt;"",$F160,IFERROR(INDEX(Assumptions!$D$31:$D$42,MATCH($B160,Assumptions!$B$31:$B$42,0)),Assumptions!$C$20)),"")))</f>
        <v/>
      </c>
      <c r="K160" s="17" t="str">
        <f aca="false">IF($J160="","",$J160/Assumptions!$C$27)</f>
        <v/>
      </c>
      <c r="L160" s="18" t="str">
        <f aca="false">IF($K160="","",MAX(Assumptions!$C$9*Assumptions!$C$25/($K160*Assumptions!$C$10),0))</f>
        <v/>
      </c>
      <c r="M160" s="18" t="str">
        <f aca="false">IF($K160="","",MAX(Assumptions!$C$9*Assumptions!$C$26/($K160*Assumptions!$C$10),0))</f>
        <v/>
      </c>
      <c r="N160" s="19" t="str">
        <f aca="false">IF($K160="","",MIN(Assumptions!$C$14,52/MAX(Assumptions!$C$9*Assumptions!$C$25/($K160*Assumptions!$C$10),Assumptions!$C$13)))</f>
        <v/>
      </c>
      <c r="O160" s="20" t="str">
        <f aca="false">IF($K160="","",IF($K160&gt;=Assumptions!$C$16,"Tier 1",IF($K160&gt;=Assumptions!$C$17,"Tier 2",IF(AND($G160&lt;&gt;"",$G160&gt;=Assumptions!$C$17),"Tier 3 — micro-conversion tests only","Tier 3"))))</f>
        <v/>
      </c>
      <c r="P160" s="16" t="str">
        <f aca="false">IF(O160="","",IF(LEFT(O160,6)="Tier 1","Pursue — offer trial; 2-week tests on purchase metrics",IF(LEFT(O160,6)="Tier 2","Qualify — trial on top-traffic pages only; bold tests (≥10% lift)",IF(O160="Tier 3","Don't trial A/B — nurture or sell non-testing services","Trial only if tests are scored on CTA clicks / leads, not purchases"))))</f>
        <v/>
      </c>
    </row>
    <row r="161" customFormat="false" ht="15" hidden="false" customHeight="false" outlineLevel="0" collapsed="false">
      <c r="A161" s="13"/>
      <c r="B161" s="13"/>
      <c r="C161" s="14"/>
      <c r="D161" s="14"/>
      <c r="E161" s="15"/>
      <c r="F161" s="15"/>
      <c r="G161" s="14"/>
      <c r="H161" s="13"/>
      <c r="I161" s="16" t="str">
        <f aca="false">IF($C161&lt;&gt;"","Actual orders",IF($D161&lt;&gt;"","Est. from traffic",IF($E161&lt;&gt;"","Est. from revenue","")))</f>
        <v/>
      </c>
      <c r="J161" s="17" t="str">
        <f aca="false">IF($C161&lt;&gt;"",$C161,IF($D161&lt;&gt;"",$D161*IFERROR(INDEX(Assumptions!$C$31:$C$42,MATCH($B161,Assumptions!$B$31:$B$42,0)),Assumptions!$C$19),IF($E161&lt;&gt;"",$E161*1000000/12/IF($F161&lt;&gt;"",$F161,IFERROR(INDEX(Assumptions!$D$31:$D$42,MATCH($B161,Assumptions!$B$31:$B$42,0)),Assumptions!$C$20)),"")))</f>
        <v/>
      </c>
      <c r="K161" s="17" t="str">
        <f aca="false">IF($J161="","",$J161/Assumptions!$C$27)</f>
        <v/>
      </c>
      <c r="L161" s="18" t="str">
        <f aca="false">IF($K161="","",MAX(Assumptions!$C$9*Assumptions!$C$25/($K161*Assumptions!$C$10),0))</f>
        <v/>
      </c>
      <c r="M161" s="18" t="str">
        <f aca="false">IF($K161="","",MAX(Assumptions!$C$9*Assumptions!$C$26/($K161*Assumptions!$C$10),0))</f>
        <v/>
      </c>
      <c r="N161" s="19" t="str">
        <f aca="false">IF($K161="","",MIN(Assumptions!$C$14,52/MAX(Assumptions!$C$9*Assumptions!$C$25/($K161*Assumptions!$C$10),Assumptions!$C$13)))</f>
        <v/>
      </c>
      <c r="O161" s="20" t="str">
        <f aca="false">IF($K161="","",IF($K161&gt;=Assumptions!$C$16,"Tier 1",IF($K161&gt;=Assumptions!$C$17,"Tier 2",IF(AND($G161&lt;&gt;"",$G161&gt;=Assumptions!$C$17),"Tier 3 — micro-conversion tests only","Tier 3"))))</f>
        <v/>
      </c>
      <c r="P161" s="16" t="str">
        <f aca="false">IF(O161="","",IF(LEFT(O161,6)="Tier 1","Pursue — offer trial; 2-week tests on purchase metrics",IF(LEFT(O161,6)="Tier 2","Qualify — trial on top-traffic pages only; bold tests (≥10% lift)",IF(O161="Tier 3","Don't trial A/B — nurture or sell non-testing services","Trial only if tests are scored on CTA clicks / leads, not purchases"))))</f>
        <v/>
      </c>
    </row>
    <row r="162" customFormat="false" ht="15" hidden="false" customHeight="false" outlineLevel="0" collapsed="false">
      <c r="A162" s="13"/>
      <c r="B162" s="13"/>
      <c r="C162" s="14"/>
      <c r="D162" s="14"/>
      <c r="E162" s="15"/>
      <c r="F162" s="15"/>
      <c r="G162" s="14"/>
      <c r="H162" s="13"/>
      <c r="I162" s="16" t="str">
        <f aca="false">IF($C162&lt;&gt;"","Actual orders",IF($D162&lt;&gt;"","Est. from traffic",IF($E162&lt;&gt;"","Est. from revenue","")))</f>
        <v/>
      </c>
      <c r="J162" s="17" t="str">
        <f aca="false">IF($C162&lt;&gt;"",$C162,IF($D162&lt;&gt;"",$D162*IFERROR(INDEX(Assumptions!$C$31:$C$42,MATCH($B162,Assumptions!$B$31:$B$42,0)),Assumptions!$C$19),IF($E162&lt;&gt;"",$E162*1000000/12/IF($F162&lt;&gt;"",$F162,IFERROR(INDEX(Assumptions!$D$31:$D$42,MATCH($B162,Assumptions!$B$31:$B$42,0)),Assumptions!$C$20)),"")))</f>
        <v/>
      </c>
      <c r="K162" s="17" t="str">
        <f aca="false">IF($J162="","",$J162/Assumptions!$C$27)</f>
        <v/>
      </c>
      <c r="L162" s="18" t="str">
        <f aca="false">IF($K162="","",MAX(Assumptions!$C$9*Assumptions!$C$25/($K162*Assumptions!$C$10),0))</f>
        <v/>
      </c>
      <c r="M162" s="18" t="str">
        <f aca="false">IF($K162="","",MAX(Assumptions!$C$9*Assumptions!$C$26/($K162*Assumptions!$C$10),0))</f>
        <v/>
      </c>
      <c r="N162" s="19" t="str">
        <f aca="false">IF($K162="","",MIN(Assumptions!$C$14,52/MAX(Assumptions!$C$9*Assumptions!$C$25/($K162*Assumptions!$C$10),Assumptions!$C$13)))</f>
        <v/>
      </c>
      <c r="O162" s="20" t="str">
        <f aca="false">IF($K162="","",IF($K162&gt;=Assumptions!$C$16,"Tier 1",IF($K162&gt;=Assumptions!$C$17,"Tier 2",IF(AND($G162&lt;&gt;"",$G162&gt;=Assumptions!$C$17),"Tier 3 — micro-conversion tests only","Tier 3"))))</f>
        <v/>
      </c>
      <c r="P162" s="16" t="str">
        <f aca="false">IF(O162="","",IF(LEFT(O162,6)="Tier 1","Pursue — offer trial; 2-week tests on purchase metrics",IF(LEFT(O162,6)="Tier 2","Qualify — trial on top-traffic pages only; bold tests (≥10% lift)",IF(O162="Tier 3","Don't trial A/B — nurture or sell non-testing services","Trial only if tests are scored on CTA clicks / leads, not purchases"))))</f>
        <v/>
      </c>
    </row>
    <row r="163" customFormat="false" ht="15" hidden="false" customHeight="false" outlineLevel="0" collapsed="false">
      <c r="A163" s="13"/>
      <c r="B163" s="13"/>
      <c r="C163" s="14"/>
      <c r="D163" s="14"/>
      <c r="E163" s="15"/>
      <c r="F163" s="15"/>
      <c r="G163" s="14"/>
      <c r="H163" s="13"/>
      <c r="I163" s="16" t="str">
        <f aca="false">IF($C163&lt;&gt;"","Actual orders",IF($D163&lt;&gt;"","Est. from traffic",IF($E163&lt;&gt;"","Est. from revenue","")))</f>
        <v/>
      </c>
      <c r="J163" s="17" t="str">
        <f aca="false">IF($C163&lt;&gt;"",$C163,IF($D163&lt;&gt;"",$D163*IFERROR(INDEX(Assumptions!$C$31:$C$42,MATCH($B163,Assumptions!$B$31:$B$42,0)),Assumptions!$C$19),IF($E163&lt;&gt;"",$E163*1000000/12/IF($F163&lt;&gt;"",$F163,IFERROR(INDEX(Assumptions!$D$31:$D$42,MATCH($B163,Assumptions!$B$31:$B$42,0)),Assumptions!$C$20)),"")))</f>
        <v/>
      </c>
      <c r="K163" s="17" t="str">
        <f aca="false">IF($J163="","",$J163/Assumptions!$C$27)</f>
        <v/>
      </c>
      <c r="L163" s="18" t="str">
        <f aca="false">IF($K163="","",MAX(Assumptions!$C$9*Assumptions!$C$25/($K163*Assumptions!$C$10),0))</f>
        <v/>
      </c>
      <c r="M163" s="18" t="str">
        <f aca="false">IF($K163="","",MAX(Assumptions!$C$9*Assumptions!$C$26/($K163*Assumptions!$C$10),0))</f>
        <v/>
      </c>
      <c r="N163" s="19" t="str">
        <f aca="false">IF($K163="","",MIN(Assumptions!$C$14,52/MAX(Assumptions!$C$9*Assumptions!$C$25/($K163*Assumptions!$C$10),Assumptions!$C$13)))</f>
        <v/>
      </c>
      <c r="O163" s="20" t="str">
        <f aca="false">IF($K163="","",IF($K163&gt;=Assumptions!$C$16,"Tier 1",IF($K163&gt;=Assumptions!$C$17,"Tier 2",IF(AND($G163&lt;&gt;"",$G163&gt;=Assumptions!$C$17),"Tier 3 — micro-conversion tests only","Tier 3"))))</f>
        <v/>
      </c>
      <c r="P163" s="16" t="str">
        <f aca="false">IF(O163="","",IF(LEFT(O163,6)="Tier 1","Pursue — offer trial; 2-week tests on purchase metrics",IF(LEFT(O163,6)="Tier 2","Qualify — trial on top-traffic pages only; bold tests (≥10% lift)",IF(O163="Tier 3","Don't trial A/B — nurture or sell non-testing services","Trial only if tests are scored on CTA clicks / leads, not purchases"))))</f>
        <v/>
      </c>
    </row>
    <row r="164" customFormat="false" ht="15" hidden="false" customHeight="false" outlineLevel="0" collapsed="false">
      <c r="A164" s="13"/>
      <c r="B164" s="13"/>
      <c r="C164" s="14"/>
      <c r="D164" s="14"/>
      <c r="E164" s="15"/>
      <c r="F164" s="15"/>
      <c r="G164" s="14"/>
      <c r="H164" s="13"/>
      <c r="I164" s="16" t="str">
        <f aca="false">IF($C164&lt;&gt;"","Actual orders",IF($D164&lt;&gt;"","Est. from traffic",IF($E164&lt;&gt;"","Est. from revenue","")))</f>
        <v/>
      </c>
      <c r="J164" s="17" t="str">
        <f aca="false">IF($C164&lt;&gt;"",$C164,IF($D164&lt;&gt;"",$D164*IFERROR(INDEX(Assumptions!$C$31:$C$42,MATCH($B164,Assumptions!$B$31:$B$42,0)),Assumptions!$C$19),IF($E164&lt;&gt;"",$E164*1000000/12/IF($F164&lt;&gt;"",$F164,IFERROR(INDEX(Assumptions!$D$31:$D$42,MATCH($B164,Assumptions!$B$31:$B$42,0)),Assumptions!$C$20)),"")))</f>
        <v/>
      </c>
      <c r="K164" s="17" t="str">
        <f aca="false">IF($J164="","",$J164/Assumptions!$C$27)</f>
        <v/>
      </c>
      <c r="L164" s="18" t="str">
        <f aca="false">IF($K164="","",MAX(Assumptions!$C$9*Assumptions!$C$25/($K164*Assumptions!$C$10),0))</f>
        <v/>
      </c>
      <c r="M164" s="18" t="str">
        <f aca="false">IF($K164="","",MAX(Assumptions!$C$9*Assumptions!$C$26/($K164*Assumptions!$C$10),0))</f>
        <v/>
      </c>
      <c r="N164" s="19" t="str">
        <f aca="false">IF($K164="","",MIN(Assumptions!$C$14,52/MAX(Assumptions!$C$9*Assumptions!$C$25/($K164*Assumptions!$C$10),Assumptions!$C$13)))</f>
        <v/>
      </c>
      <c r="O164" s="20" t="str">
        <f aca="false">IF($K164="","",IF($K164&gt;=Assumptions!$C$16,"Tier 1",IF($K164&gt;=Assumptions!$C$17,"Tier 2",IF(AND($G164&lt;&gt;"",$G164&gt;=Assumptions!$C$17),"Tier 3 — micro-conversion tests only","Tier 3"))))</f>
        <v/>
      </c>
      <c r="P164" s="16" t="str">
        <f aca="false">IF(O164="","",IF(LEFT(O164,6)="Tier 1","Pursue — offer trial; 2-week tests on purchase metrics",IF(LEFT(O164,6)="Tier 2","Qualify — trial on top-traffic pages only; bold tests (≥10% lift)",IF(O164="Tier 3","Don't trial A/B — nurture or sell non-testing services","Trial only if tests are scored on CTA clicks / leads, not purchases"))))</f>
        <v/>
      </c>
    </row>
    <row r="165" customFormat="false" ht="15" hidden="false" customHeight="false" outlineLevel="0" collapsed="false">
      <c r="A165" s="13"/>
      <c r="B165" s="13"/>
      <c r="C165" s="14"/>
      <c r="D165" s="14"/>
      <c r="E165" s="15"/>
      <c r="F165" s="15"/>
      <c r="G165" s="14"/>
      <c r="H165" s="13"/>
      <c r="I165" s="16" t="str">
        <f aca="false">IF($C165&lt;&gt;"","Actual orders",IF($D165&lt;&gt;"","Est. from traffic",IF($E165&lt;&gt;"","Est. from revenue","")))</f>
        <v/>
      </c>
      <c r="J165" s="17" t="str">
        <f aca="false">IF($C165&lt;&gt;"",$C165,IF($D165&lt;&gt;"",$D165*IFERROR(INDEX(Assumptions!$C$31:$C$42,MATCH($B165,Assumptions!$B$31:$B$42,0)),Assumptions!$C$19),IF($E165&lt;&gt;"",$E165*1000000/12/IF($F165&lt;&gt;"",$F165,IFERROR(INDEX(Assumptions!$D$31:$D$42,MATCH($B165,Assumptions!$B$31:$B$42,0)),Assumptions!$C$20)),"")))</f>
        <v/>
      </c>
      <c r="K165" s="17" t="str">
        <f aca="false">IF($J165="","",$J165/Assumptions!$C$27)</f>
        <v/>
      </c>
      <c r="L165" s="18" t="str">
        <f aca="false">IF($K165="","",MAX(Assumptions!$C$9*Assumptions!$C$25/($K165*Assumptions!$C$10),0))</f>
        <v/>
      </c>
      <c r="M165" s="18" t="str">
        <f aca="false">IF($K165="","",MAX(Assumptions!$C$9*Assumptions!$C$26/($K165*Assumptions!$C$10),0))</f>
        <v/>
      </c>
      <c r="N165" s="19" t="str">
        <f aca="false">IF($K165="","",MIN(Assumptions!$C$14,52/MAX(Assumptions!$C$9*Assumptions!$C$25/($K165*Assumptions!$C$10),Assumptions!$C$13)))</f>
        <v/>
      </c>
      <c r="O165" s="20" t="str">
        <f aca="false">IF($K165="","",IF($K165&gt;=Assumptions!$C$16,"Tier 1",IF($K165&gt;=Assumptions!$C$17,"Tier 2",IF(AND($G165&lt;&gt;"",$G165&gt;=Assumptions!$C$17),"Tier 3 — micro-conversion tests only","Tier 3"))))</f>
        <v/>
      </c>
      <c r="P165" s="16" t="str">
        <f aca="false">IF(O165="","",IF(LEFT(O165,6)="Tier 1","Pursue — offer trial; 2-week tests on purchase metrics",IF(LEFT(O165,6)="Tier 2","Qualify — trial on top-traffic pages only; bold tests (≥10% lift)",IF(O165="Tier 3","Don't trial A/B — nurture or sell non-testing services","Trial only if tests are scored on CTA clicks / leads, not purchases"))))</f>
        <v/>
      </c>
    </row>
    <row r="166" customFormat="false" ht="15" hidden="false" customHeight="false" outlineLevel="0" collapsed="false">
      <c r="A166" s="13"/>
      <c r="B166" s="13"/>
      <c r="C166" s="14"/>
      <c r="D166" s="14"/>
      <c r="E166" s="15"/>
      <c r="F166" s="15"/>
      <c r="G166" s="14"/>
      <c r="H166" s="13"/>
      <c r="I166" s="16" t="str">
        <f aca="false">IF($C166&lt;&gt;"","Actual orders",IF($D166&lt;&gt;"","Est. from traffic",IF($E166&lt;&gt;"","Est. from revenue","")))</f>
        <v/>
      </c>
      <c r="J166" s="17" t="str">
        <f aca="false">IF($C166&lt;&gt;"",$C166,IF($D166&lt;&gt;"",$D166*IFERROR(INDEX(Assumptions!$C$31:$C$42,MATCH($B166,Assumptions!$B$31:$B$42,0)),Assumptions!$C$19),IF($E166&lt;&gt;"",$E166*1000000/12/IF($F166&lt;&gt;"",$F166,IFERROR(INDEX(Assumptions!$D$31:$D$42,MATCH($B166,Assumptions!$B$31:$B$42,0)),Assumptions!$C$20)),"")))</f>
        <v/>
      </c>
      <c r="K166" s="17" t="str">
        <f aca="false">IF($J166="","",$J166/Assumptions!$C$27)</f>
        <v/>
      </c>
      <c r="L166" s="18" t="str">
        <f aca="false">IF($K166="","",MAX(Assumptions!$C$9*Assumptions!$C$25/($K166*Assumptions!$C$10),0))</f>
        <v/>
      </c>
      <c r="M166" s="18" t="str">
        <f aca="false">IF($K166="","",MAX(Assumptions!$C$9*Assumptions!$C$26/($K166*Assumptions!$C$10),0))</f>
        <v/>
      </c>
      <c r="N166" s="19" t="str">
        <f aca="false">IF($K166="","",MIN(Assumptions!$C$14,52/MAX(Assumptions!$C$9*Assumptions!$C$25/($K166*Assumptions!$C$10),Assumptions!$C$13)))</f>
        <v/>
      </c>
      <c r="O166" s="20" t="str">
        <f aca="false">IF($K166="","",IF($K166&gt;=Assumptions!$C$16,"Tier 1",IF($K166&gt;=Assumptions!$C$17,"Tier 2",IF(AND($G166&lt;&gt;"",$G166&gt;=Assumptions!$C$17),"Tier 3 — micro-conversion tests only","Tier 3"))))</f>
        <v/>
      </c>
      <c r="P166" s="16" t="str">
        <f aca="false">IF(O166="","",IF(LEFT(O166,6)="Tier 1","Pursue — offer trial; 2-week tests on purchase metrics",IF(LEFT(O166,6)="Tier 2","Qualify — trial on top-traffic pages only; bold tests (≥10% lift)",IF(O166="Tier 3","Don't trial A/B — nurture or sell non-testing services","Trial only if tests are scored on CTA clicks / leads, not purchases"))))</f>
        <v/>
      </c>
    </row>
    <row r="167" customFormat="false" ht="15" hidden="false" customHeight="false" outlineLevel="0" collapsed="false">
      <c r="A167" s="13"/>
      <c r="B167" s="13"/>
      <c r="C167" s="14"/>
      <c r="D167" s="14"/>
      <c r="E167" s="15"/>
      <c r="F167" s="15"/>
      <c r="G167" s="14"/>
      <c r="H167" s="13"/>
      <c r="I167" s="16" t="str">
        <f aca="false">IF($C167&lt;&gt;"","Actual orders",IF($D167&lt;&gt;"","Est. from traffic",IF($E167&lt;&gt;"","Est. from revenue","")))</f>
        <v/>
      </c>
      <c r="J167" s="17" t="str">
        <f aca="false">IF($C167&lt;&gt;"",$C167,IF($D167&lt;&gt;"",$D167*IFERROR(INDEX(Assumptions!$C$31:$C$42,MATCH($B167,Assumptions!$B$31:$B$42,0)),Assumptions!$C$19),IF($E167&lt;&gt;"",$E167*1000000/12/IF($F167&lt;&gt;"",$F167,IFERROR(INDEX(Assumptions!$D$31:$D$42,MATCH($B167,Assumptions!$B$31:$B$42,0)),Assumptions!$C$20)),"")))</f>
        <v/>
      </c>
      <c r="K167" s="17" t="str">
        <f aca="false">IF($J167="","",$J167/Assumptions!$C$27)</f>
        <v/>
      </c>
      <c r="L167" s="18" t="str">
        <f aca="false">IF($K167="","",MAX(Assumptions!$C$9*Assumptions!$C$25/($K167*Assumptions!$C$10),0))</f>
        <v/>
      </c>
      <c r="M167" s="18" t="str">
        <f aca="false">IF($K167="","",MAX(Assumptions!$C$9*Assumptions!$C$26/($K167*Assumptions!$C$10),0))</f>
        <v/>
      </c>
      <c r="N167" s="19" t="str">
        <f aca="false">IF($K167="","",MIN(Assumptions!$C$14,52/MAX(Assumptions!$C$9*Assumptions!$C$25/($K167*Assumptions!$C$10),Assumptions!$C$13)))</f>
        <v/>
      </c>
      <c r="O167" s="20" t="str">
        <f aca="false">IF($K167="","",IF($K167&gt;=Assumptions!$C$16,"Tier 1",IF($K167&gt;=Assumptions!$C$17,"Tier 2",IF(AND($G167&lt;&gt;"",$G167&gt;=Assumptions!$C$17),"Tier 3 — micro-conversion tests only","Tier 3"))))</f>
        <v/>
      </c>
      <c r="P167" s="16" t="str">
        <f aca="false">IF(O167="","",IF(LEFT(O167,6)="Tier 1","Pursue — offer trial; 2-week tests on purchase metrics",IF(LEFT(O167,6)="Tier 2","Qualify — trial on top-traffic pages only; bold tests (≥10% lift)",IF(O167="Tier 3","Don't trial A/B — nurture or sell non-testing services","Trial only if tests are scored on CTA clicks / leads, not purchases"))))</f>
        <v/>
      </c>
    </row>
    <row r="168" customFormat="false" ht="15" hidden="false" customHeight="false" outlineLevel="0" collapsed="false">
      <c r="A168" s="13"/>
      <c r="B168" s="13"/>
      <c r="C168" s="14"/>
      <c r="D168" s="14"/>
      <c r="E168" s="15"/>
      <c r="F168" s="15"/>
      <c r="G168" s="14"/>
      <c r="H168" s="13"/>
      <c r="I168" s="16" t="str">
        <f aca="false">IF($C168&lt;&gt;"","Actual orders",IF($D168&lt;&gt;"","Est. from traffic",IF($E168&lt;&gt;"","Est. from revenue","")))</f>
        <v/>
      </c>
      <c r="J168" s="17" t="str">
        <f aca="false">IF($C168&lt;&gt;"",$C168,IF($D168&lt;&gt;"",$D168*IFERROR(INDEX(Assumptions!$C$31:$C$42,MATCH($B168,Assumptions!$B$31:$B$42,0)),Assumptions!$C$19),IF($E168&lt;&gt;"",$E168*1000000/12/IF($F168&lt;&gt;"",$F168,IFERROR(INDEX(Assumptions!$D$31:$D$42,MATCH($B168,Assumptions!$B$31:$B$42,0)),Assumptions!$C$20)),"")))</f>
        <v/>
      </c>
      <c r="K168" s="17" t="str">
        <f aca="false">IF($J168="","",$J168/Assumptions!$C$27)</f>
        <v/>
      </c>
      <c r="L168" s="18" t="str">
        <f aca="false">IF($K168="","",MAX(Assumptions!$C$9*Assumptions!$C$25/($K168*Assumptions!$C$10),0))</f>
        <v/>
      </c>
      <c r="M168" s="18" t="str">
        <f aca="false">IF($K168="","",MAX(Assumptions!$C$9*Assumptions!$C$26/($K168*Assumptions!$C$10),0))</f>
        <v/>
      </c>
      <c r="N168" s="19" t="str">
        <f aca="false">IF($K168="","",MIN(Assumptions!$C$14,52/MAX(Assumptions!$C$9*Assumptions!$C$25/($K168*Assumptions!$C$10),Assumptions!$C$13)))</f>
        <v/>
      </c>
      <c r="O168" s="20" t="str">
        <f aca="false">IF($K168="","",IF($K168&gt;=Assumptions!$C$16,"Tier 1",IF($K168&gt;=Assumptions!$C$17,"Tier 2",IF(AND($G168&lt;&gt;"",$G168&gt;=Assumptions!$C$17),"Tier 3 — micro-conversion tests only","Tier 3"))))</f>
        <v/>
      </c>
      <c r="P168" s="16" t="str">
        <f aca="false">IF(O168="","",IF(LEFT(O168,6)="Tier 1","Pursue — offer trial; 2-week tests on purchase metrics",IF(LEFT(O168,6)="Tier 2","Qualify — trial on top-traffic pages only; bold tests (≥10% lift)",IF(O168="Tier 3","Don't trial A/B — nurture or sell non-testing services","Trial only if tests are scored on CTA clicks / leads, not purchases"))))</f>
        <v/>
      </c>
    </row>
    <row r="169" customFormat="false" ht="15" hidden="false" customHeight="false" outlineLevel="0" collapsed="false">
      <c r="A169" s="13"/>
      <c r="B169" s="13"/>
      <c r="C169" s="14"/>
      <c r="D169" s="14"/>
      <c r="E169" s="15"/>
      <c r="F169" s="15"/>
      <c r="G169" s="14"/>
      <c r="H169" s="13"/>
      <c r="I169" s="16" t="str">
        <f aca="false">IF($C169&lt;&gt;"","Actual orders",IF($D169&lt;&gt;"","Est. from traffic",IF($E169&lt;&gt;"","Est. from revenue","")))</f>
        <v/>
      </c>
      <c r="J169" s="17" t="str">
        <f aca="false">IF($C169&lt;&gt;"",$C169,IF($D169&lt;&gt;"",$D169*IFERROR(INDEX(Assumptions!$C$31:$C$42,MATCH($B169,Assumptions!$B$31:$B$42,0)),Assumptions!$C$19),IF($E169&lt;&gt;"",$E169*1000000/12/IF($F169&lt;&gt;"",$F169,IFERROR(INDEX(Assumptions!$D$31:$D$42,MATCH($B169,Assumptions!$B$31:$B$42,0)),Assumptions!$C$20)),"")))</f>
        <v/>
      </c>
      <c r="K169" s="17" t="str">
        <f aca="false">IF($J169="","",$J169/Assumptions!$C$27)</f>
        <v/>
      </c>
      <c r="L169" s="18" t="str">
        <f aca="false">IF($K169="","",MAX(Assumptions!$C$9*Assumptions!$C$25/($K169*Assumptions!$C$10),0))</f>
        <v/>
      </c>
      <c r="M169" s="18" t="str">
        <f aca="false">IF($K169="","",MAX(Assumptions!$C$9*Assumptions!$C$26/($K169*Assumptions!$C$10),0))</f>
        <v/>
      </c>
      <c r="N169" s="19" t="str">
        <f aca="false">IF($K169="","",MIN(Assumptions!$C$14,52/MAX(Assumptions!$C$9*Assumptions!$C$25/($K169*Assumptions!$C$10),Assumptions!$C$13)))</f>
        <v/>
      </c>
      <c r="O169" s="20" t="str">
        <f aca="false">IF($K169="","",IF($K169&gt;=Assumptions!$C$16,"Tier 1",IF($K169&gt;=Assumptions!$C$17,"Tier 2",IF(AND($G169&lt;&gt;"",$G169&gt;=Assumptions!$C$17),"Tier 3 — micro-conversion tests only","Tier 3"))))</f>
        <v/>
      </c>
      <c r="P169" s="16" t="str">
        <f aca="false">IF(O169="","",IF(LEFT(O169,6)="Tier 1","Pursue — offer trial; 2-week tests on purchase metrics",IF(LEFT(O169,6)="Tier 2","Qualify — trial on top-traffic pages only; bold tests (≥10% lift)",IF(O169="Tier 3","Don't trial A/B — nurture or sell non-testing services","Trial only if tests are scored on CTA clicks / leads, not purchases"))))</f>
        <v/>
      </c>
    </row>
    <row r="170" customFormat="false" ht="15" hidden="false" customHeight="false" outlineLevel="0" collapsed="false">
      <c r="A170" s="13"/>
      <c r="B170" s="13"/>
      <c r="C170" s="14"/>
      <c r="D170" s="14"/>
      <c r="E170" s="15"/>
      <c r="F170" s="15"/>
      <c r="G170" s="14"/>
      <c r="H170" s="13"/>
      <c r="I170" s="16" t="str">
        <f aca="false">IF($C170&lt;&gt;"","Actual orders",IF($D170&lt;&gt;"","Est. from traffic",IF($E170&lt;&gt;"","Est. from revenue","")))</f>
        <v/>
      </c>
      <c r="J170" s="17" t="str">
        <f aca="false">IF($C170&lt;&gt;"",$C170,IF($D170&lt;&gt;"",$D170*IFERROR(INDEX(Assumptions!$C$31:$C$42,MATCH($B170,Assumptions!$B$31:$B$42,0)),Assumptions!$C$19),IF($E170&lt;&gt;"",$E170*1000000/12/IF($F170&lt;&gt;"",$F170,IFERROR(INDEX(Assumptions!$D$31:$D$42,MATCH($B170,Assumptions!$B$31:$B$42,0)),Assumptions!$C$20)),"")))</f>
        <v/>
      </c>
      <c r="K170" s="17" t="str">
        <f aca="false">IF($J170="","",$J170/Assumptions!$C$27)</f>
        <v/>
      </c>
      <c r="L170" s="18" t="str">
        <f aca="false">IF($K170="","",MAX(Assumptions!$C$9*Assumptions!$C$25/($K170*Assumptions!$C$10),0))</f>
        <v/>
      </c>
      <c r="M170" s="18" t="str">
        <f aca="false">IF($K170="","",MAX(Assumptions!$C$9*Assumptions!$C$26/($K170*Assumptions!$C$10),0))</f>
        <v/>
      </c>
      <c r="N170" s="19" t="str">
        <f aca="false">IF($K170="","",MIN(Assumptions!$C$14,52/MAX(Assumptions!$C$9*Assumptions!$C$25/($K170*Assumptions!$C$10),Assumptions!$C$13)))</f>
        <v/>
      </c>
      <c r="O170" s="20" t="str">
        <f aca="false">IF($K170="","",IF($K170&gt;=Assumptions!$C$16,"Tier 1",IF($K170&gt;=Assumptions!$C$17,"Tier 2",IF(AND($G170&lt;&gt;"",$G170&gt;=Assumptions!$C$17),"Tier 3 — micro-conversion tests only","Tier 3"))))</f>
        <v/>
      </c>
      <c r="P170" s="16" t="str">
        <f aca="false">IF(O170="","",IF(LEFT(O170,6)="Tier 1","Pursue — offer trial; 2-week tests on purchase metrics",IF(LEFT(O170,6)="Tier 2","Qualify — trial on top-traffic pages only; bold tests (≥10% lift)",IF(O170="Tier 3","Don't trial A/B — nurture or sell non-testing services","Trial only if tests are scored on CTA clicks / leads, not purchases"))))</f>
        <v/>
      </c>
    </row>
    <row r="171" customFormat="false" ht="15" hidden="false" customHeight="false" outlineLevel="0" collapsed="false">
      <c r="A171" s="13"/>
      <c r="B171" s="13"/>
      <c r="C171" s="14"/>
      <c r="D171" s="14"/>
      <c r="E171" s="15"/>
      <c r="F171" s="15"/>
      <c r="G171" s="14"/>
      <c r="H171" s="13"/>
      <c r="I171" s="16" t="str">
        <f aca="false">IF($C171&lt;&gt;"","Actual orders",IF($D171&lt;&gt;"","Est. from traffic",IF($E171&lt;&gt;"","Est. from revenue","")))</f>
        <v/>
      </c>
      <c r="J171" s="17" t="str">
        <f aca="false">IF($C171&lt;&gt;"",$C171,IF($D171&lt;&gt;"",$D171*IFERROR(INDEX(Assumptions!$C$31:$C$42,MATCH($B171,Assumptions!$B$31:$B$42,0)),Assumptions!$C$19),IF($E171&lt;&gt;"",$E171*1000000/12/IF($F171&lt;&gt;"",$F171,IFERROR(INDEX(Assumptions!$D$31:$D$42,MATCH($B171,Assumptions!$B$31:$B$42,0)),Assumptions!$C$20)),"")))</f>
        <v/>
      </c>
      <c r="K171" s="17" t="str">
        <f aca="false">IF($J171="","",$J171/Assumptions!$C$27)</f>
        <v/>
      </c>
      <c r="L171" s="18" t="str">
        <f aca="false">IF($K171="","",MAX(Assumptions!$C$9*Assumptions!$C$25/($K171*Assumptions!$C$10),0))</f>
        <v/>
      </c>
      <c r="M171" s="18" t="str">
        <f aca="false">IF($K171="","",MAX(Assumptions!$C$9*Assumptions!$C$26/($K171*Assumptions!$C$10),0))</f>
        <v/>
      </c>
      <c r="N171" s="19" t="str">
        <f aca="false">IF($K171="","",MIN(Assumptions!$C$14,52/MAX(Assumptions!$C$9*Assumptions!$C$25/($K171*Assumptions!$C$10),Assumptions!$C$13)))</f>
        <v/>
      </c>
      <c r="O171" s="20" t="str">
        <f aca="false">IF($K171="","",IF($K171&gt;=Assumptions!$C$16,"Tier 1",IF($K171&gt;=Assumptions!$C$17,"Tier 2",IF(AND($G171&lt;&gt;"",$G171&gt;=Assumptions!$C$17),"Tier 3 — micro-conversion tests only","Tier 3"))))</f>
        <v/>
      </c>
      <c r="P171" s="16" t="str">
        <f aca="false">IF(O171="","",IF(LEFT(O171,6)="Tier 1","Pursue — offer trial; 2-week tests on purchase metrics",IF(LEFT(O171,6)="Tier 2","Qualify — trial on top-traffic pages only; bold tests (≥10% lift)",IF(O171="Tier 3","Don't trial A/B — nurture or sell non-testing services","Trial only if tests are scored on CTA clicks / leads, not purchases"))))</f>
        <v/>
      </c>
    </row>
    <row r="172" customFormat="false" ht="15" hidden="false" customHeight="false" outlineLevel="0" collapsed="false">
      <c r="A172" s="13"/>
      <c r="B172" s="13"/>
      <c r="C172" s="14"/>
      <c r="D172" s="14"/>
      <c r="E172" s="15"/>
      <c r="F172" s="15"/>
      <c r="G172" s="14"/>
      <c r="H172" s="13"/>
      <c r="I172" s="16" t="str">
        <f aca="false">IF($C172&lt;&gt;"","Actual orders",IF($D172&lt;&gt;"","Est. from traffic",IF($E172&lt;&gt;"","Est. from revenue","")))</f>
        <v/>
      </c>
      <c r="J172" s="17" t="str">
        <f aca="false">IF($C172&lt;&gt;"",$C172,IF($D172&lt;&gt;"",$D172*IFERROR(INDEX(Assumptions!$C$31:$C$42,MATCH($B172,Assumptions!$B$31:$B$42,0)),Assumptions!$C$19),IF($E172&lt;&gt;"",$E172*1000000/12/IF($F172&lt;&gt;"",$F172,IFERROR(INDEX(Assumptions!$D$31:$D$42,MATCH($B172,Assumptions!$B$31:$B$42,0)),Assumptions!$C$20)),"")))</f>
        <v/>
      </c>
      <c r="K172" s="17" t="str">
        <f aca="false">IF($J172="","",$J172/Assumptions!$C$27)</f>
        <v/>
      </c>
      <c r="L172" s="18" t="str">
        <f aca="false">IF($K172="","",MAX(Assumptions!$C$9*Assumptions!$C$25/($K172*Assumptions!$C$10),0))</f>
        <v/>
      </c>
      <c r="M172" s="18" t="str">
        <f aca="false">IF($K172="","",MAX(Assumptions!$C$9*Assumptions!$C$26/($K172*Assumptions!$C$10),0))</f>
        <v/>
      </c>
      <c r="N172" s="19" t="str">
        <f aca="false">IF($K172="","",MIN(Assumptions!$C$14,52/MAX(Assumptions!$C$9*Assumptions!$C$25/($K172*Assumptions!$C$10),Assumptions!$C$13)))</f>
        <v/>
      </c>
      <c r="O172" s="20" t="str">
        <f aca="false">IF($K172="","",IF($K172&gt;=Assumptions!$C$16,"Tier 1",IF($K172&gt;=Assumptions!$C$17,"Tier 2",IF(AND($G172&lt;&gt;"",$G172&gt;=Assumptions!$C$17),"Tier 3 — micro-conversion tests only","Tier 3"))))</f>
        <v/>
      </c>
      <c r="P172" s="16" t="str">
        <f aca="false">IF(O172="","",IF(LEFT(O172,6)="Tier 1","Pursue — offer trial; 2-week tests on purchase metrics",IF(LEFT(O172,6)="Tier 2","Qualify — trial on top-traffic pages only; bold tests (≥10% lift)",IF(O172="Tier 3","Don't trial A/B — nurture or sell non-testing services","Trial only if tests are scored on CTA clicks / leads, not purchases"))))</f>
        <v/>
      </c>
    </row>
    <row r="173" customFormat="false" ht="15" hidden="false" customHeight="false" outlineLevel="0" collapsed="false">
      <c r="A173" s="13"/>
      <c r="B173" s="13"/>
      <c r="C173" s="14"/>
      <c r="D173" s="14"/>
      <c r="E173" s="15"/>
      <c r="F173" s="15"/>
      <c r="G173" s="14"/>
      <c r="H173" s="13"/>
      <c r="I173" s="16" t="str">
        <f aca="false">IF($C173&lt;&gt;"","Actual orders",IF($D173&lt;&gt;"","Est. from traffic",IF($E173&lt;&gt;"","Est. from revenue","")))</f>
        <v/>
      </c>
      <c r="J173" s="17" t="str">
        <f aca="false">IF($C173&lt;&gt;"",$C173,IF($D173&lt;&gt;"",$D173*IFERROR(INDEX(Assumptions!$C$31:$C$42,MATCH($B173,Assumptions!$B$31:$B$42,0)),Assumptions!$C$19),IF($E173&lt;&gt;"",$E173*1000000/12/IF($F173&lt;&gt;"",$F173,IFERROR(INDEX(Assumptions!$D$31:$D$42,MATCH($B173,Assumptions!$B$31:$B$42,0)),Assumptions!$C$20)),"")))</f>
        <v/>
      </c>
      <c r="K173" s="17" t="str">
        <f aca="false">IF($J173="","",$J173/Assumptions!$C$27)</f>
        <v/>
      </c>
      <c r="L173" s="18" t="str">
        <f aca="false">IF($K173="","",MAX(Assumptions!$C$9*Assumptions!$C$25/($K173*Assumptions!$C$10),0))</f>
        <v/>
      </c>
      <c r="M173" s="18" t="str">
        <f aca="false">IF($K173="","",MAX(Assumptions!$C$9*Assumptions!$C$26/($K173*Assumptions!$C$10),0))</f>
        <v/>
      </c>
      <c r="N173" s="19" t="str">
        <f aca="false">IF($K173="","",MIN(Assumptions!$C$14,52/MAX(Assumptions!$C$9*Assumptions!$C$25/($K173*Assumptions!$C$10),Assumptions!$C$13)))</f>
        <v/>
      </c>
      <c r="O173" s="20" t="str">
        <f aca="false">IF($K173="","",IF($K173&gt;=Assumptions!$C$16,"Tier 1",IF($K173&gt;=Assumptions!$C$17,"Tier 2",IF(AND($G173&lt;&gt;"",$G173&gt;=Assumptions!$C$17),"Tier 3 — micro-conversion tests only","Tier 3"))))</f>
        <v/>
      </c>
      <c r="P173" s="16" t="str">
        <f aca="false">IF(O173="","",IF(LEFT(O173,6)="Tier 1","Pursue — offer trial; 2-week tests on purchase metrics",IF(LEFT(O173,6)="Tier 2","Qualify — trial on top-traffic pages only; bold tests (≥10% lift)",IF(O173="Tier 3","Don't trial A/B — nurture or sell non-testing services","Trial only if tests are scored on CTA clicks / leads, not purchases"))))</f>
        <v/>
      </c>
    </row>
    <row r="174" customFormat="false" ht="15" hidden="false" customHeight="false" outlineLevel="0" collapsed="false">
      <c r="A174" s="13"/>
      <c r="B174" s="13"/>
      <c r="C174" s="14"/>
      <c r="D174" s="14"/>
      <c r="E174" s="15"/>
      <c r="F174" s="15"/>
      <c r="G174" s="14"/>
      <c r="H174" s="13"/>
      <c r="I174" s="16" t="str">
        <f aca="false">IF($C174&lt;&gt;"","Actual orders",IF($D174&lt;&gt;"","Est. from traffic",IF($E174&lt;&gt;"","Est. from revenue","")))</f>
        <v/>
      </c>
      <c r="J174" s="17" t="str">
        <f aca="false">IF($C174&lt;&gt;"",$C174,IF($D174&lt;&gt;"",$D174*IFERROR(INDEX(Assumptions!$C$31:$C$42,MATCH($B174,Assumptions!$B$31:$B$42,0)),Assumptions!$C$19),IF($E174&lt;&gt;"",$E174*1000000/12/IF($F174&lt;&gt;"",$F174,IFERROR(INDEX(Assumptions!$D$31:$D$42,MATCH($B174,Assumptions!$B$31:$B$42,0)),Assumptions!$C$20)),"")))</f>
        <v/>
      </c>
      <c r="K174" s="17" t="str">
        <f aca="false">IF($J174="","",$J174/Assumptions!$C$27)</f>
        <v/>
      </c>
      <c r="L174" s="18" t="str">
        <f aca="false">IF($K174="","",MAX(Assumptions!$C$9*Assumptions!$C$25/($K174*Assumptions!$C$10),0))</f>
        <v/>
      </c>
      <c r="M174" s="18" t="str">
        <f aca="false">IF($K174="","",MAX(Assumptions!$C$9*Assumptions!$C$26/($K174*Assumptions!$C$10),0))</f>
        <v/>
      </c>
      <c r="N174" s="19" t="str">
        <f aca="false">IF($K174="","",MIN(Assumptions!$C$14,52/MAX(Assumptions!$C$9*Assumptions!$C$25/($K174*Assumptions!$C$10),Assumptions!$C$13)))</f>
        <v/>
      </c>
      <c r="O174" s="20" t="str">
        <f aca="false">IF($K174="","",IF($K174&gt;=Assumptions!$C$16,"Tier 1",IF($K174&gt;=Assumptions!$C$17,"Tier 2",IF(AND($G174&lt;&gt;"",$G174&gt;=Assumptions!$C$17),"Tier 3 — micro-conversion tests only","Tier 3"))))</f>
        <v/>
      </c>
      <c r="P174" s="16" t="str">
        <f aca="false">IF(O174="","",IF(LEFT(O174,6)="Tier 1","Pursue — offer trial; 2-week tests on purchase metrics",IF(LEFT(O174,6)="Tier 2","Qualify — trial on top-traffic pages only; bold tests (≥10% lift)",IF(O174="Tier 3","Don't trial A/B — nurture or sell non-testing services","Trial only if tests are scored on CTA clicks / leads, not purchases"))))</f>
        <v/>
      </c>
    </row>
    <row r="175" customFormat="false" ht="15" hidden="false" customHeight="false" outlineLevel="0" collapsed="false">
      <c r="A175" s="13"/>
      <c r="B175" s="13"/>
      <c r="C175" s="14"/>
      <c r="D175" s="14"/>
      <c r="E175" s="15"/>
      <c r="F175" s="15"/>
      <c r="G175" s="14"/>
      <c r="H175" s="13"/>
      <c r="I175" s="16" t="str">
        <f aca="false">IF($C175&lt;&gt;"","Actual orders",IF($D175&lt;&gt;"","Est. from traffic",IF($E175&lt;&gt;"","Est. from revenue","")))</f>
        <v/>
      </c>
      <c r="J175" s="17" t="str">
        <f aca="false">IF($C175&lt;&gt;"",$C175,IF($D175&lt;&gt;"",$D175*IFERROR(INDEX(Assumptions!$C$31:$C$42,MATCH($B175,Assumptions!$B$31:$B$42,0)),Assumptions!$C$19),IF($E175&lt;&gt;"",$E175*1000000/12/IF($F175&lt;&gt;"",$F175,IFERROR(INDEX(Assumptions!$D$31:$D$42,MATCH($B175,Assumptions!$B$31:$B$42,0)),Assumptions!$C$20)),"")))</f>
        <v/>
      </c>
      <c r="K175" s="17" t="str">
        <f aca="false">IF($J175="","",$J175/Assumptions!$C$27)</f>
        <v/>
      </c>
      <c r="L175" s="18" t="str">
        <f aca="false">IF($K175="","",MAX(Assumptions!$C$9*Assumptions!$C$25/($K175*Assumptions!$C$10),0))</f>
        <v/>
      </c>
      <c r="M175" s="18" t="str">
        <f aca="false">IF($K175="","",MAX(Assumptions!$C$9*Assumptions!$C$26/($K175*Assumptions!$C$10),0))</f>
        <v/>
      </c>
      <c r="N175" s="19" t="str">
        <f aca="false">IF($K175="","",MIN(Assumptions!$C$14,52/MAX(Assumptions!$C$9*Assumptions!$C$25/($K175*Assumptions!$C$10),Assumptions!$C$13)))</f>
        <v/>
      </c>
      <c r="O175" s="20" t="str">
        <f aca="false">IF($K175="","",IF($K175&gt;=Assumptions!$C$16,"Tier 1",IF($K175&gt;=Assumptions!$C$17,"Tier 2",IF(AND($G175&lt;&gt;"",$G175&gt;=Assumptions!$C$17),"Tier 3 — micro-conversion tests only","Tier 3"))))</f>
        <v/>
      </c>
      <c r="P175" s="16" t="str">
        <f aca="false">IF(O175="","",IF(LEFT(O175,6)="Tier 1","Pursue — offer trial; 2-week tests on purchase metrics",IF(LEFT(O175,6)="Tier 2","Qualify — trial on top-traffic pages only; bold tests (≥10% lift)",IF(O175="Tier 3","Don't trial A/B — nurture or sell non-testing services","Trial only if tests are scored on CTA clicks / leads, not purchases"))))</f>
        <v/>
      </c>
    </row>
    <row r="176" customFormat="false" ht="15" hidden="false" customHeight="false" outlineLevel="0" collapsed="false">
      <c r="A176" s="13"/>
      <c r="B176" s="13"/>
      <c r="C176" s="14"/>
      <c r="D176" s="14"/>
      <c r="E176" s="15"/>
      <c r="F176" s="15"/>
      <c r="G176" s="14"/>
      <c r="H176" s="13"/>
      <c r="I176" s="16" t="str">
        <f aca="false">IF($C176&lt;&gt;"","Actual orders",IF($D176&lt;&gt;"","Est. from traffic",IF($E176&lt;&gt;"","Est. from revenue","")))</f>
        <v/>
      </c>
      <c r="J176" s="17" t="str">
        <f aca="false">IF($C176&lt;&gt;"",$C176,IF($D176&lt;&gt;"",$D176*IFERROR(INDEX(Assumptions!$C$31:$C$42,MATCH($B176,Assumptions!$B$31:$B$42,0)),Assumptions!$C$19),IF($E176&lt;&gt;"",$E176*1000000/12/IF($F176&lt;&gt;"",$F176,IFERROR(INDEX(Assumptions!$D$31:$D$42,MATCH($B176,Assumptions!$B$31:$B$42,0)),Assumptions!$C$20)),"")))</f>
        <v/>
      </c>
      <c r="K176" s="17" t="str">
        <f aca="false">IF($J176="","",$J176/Assumptions!$C$27)</f>
        <v/>
      </c>
      <c r="L176" s="18" t="str">
        <f aca="false">IF($K176="","",MAX(Assumptions!$C$9*Assumptions!$C$25/($K176*Assumptions!$C$10),0))</f>
        <v/>
      </c>
      <c r="M176" s="18" t="str">
        <f aca="false">IF($K176="","",MAX(Assumptions!$C$9*Assumptions!$C$26/($K176*Assumptions!$C$10),0))</f>
        <v/>
      </c>
      <c r="N176" s="19" t="str">
        <f aca="false">IF($K176="","",MIN(Assumptions!$C$14,52/MAX(Assumptions!$C$9*Assumptions!$C$25/($K176*Assumptions!$C$10),Assumptions!$C$13)))</f>
        <v/>
      </c>
      <c r="O176" s="20" t="str">
        <f aca="false">IF($K176="","",IF($K176&gt;=Assumptions!$C$16,"Tier 1",IF($K176&gt;=Assumptions!$C$17,"Tier 2",IF(AND($G176&lt;&gt;"",$G176&gt;=Assumptions!$C$17),"Tier 3 — micro-conversion tests only","Tier 3"))))</f>
        <v/>
      </c>
      <c r="P176" s="16" t="str">
        <f aca="false">IF(O176="","",IF(LEFT(O176,6)="Tier 1","Pursue — offer trial; 2-week tests on purchase metrics",IF(LEFT(O176,6)="Tier 2","Qualify — trial on top-traffic pages only; bold tests (≥10% lift)",IF(O176="Tier 3","Don't trial A/B — nurture or sell non-testing services","Trial only if tests are scored on CTA clicks / leads, not purchases"))))</f>
        <v/>
      </c>
    </row>
    <row r="177" customFormat="false" ht="15" hidden="false" customHeight="false" outlineLevel="0" collapsed="false">
      <c r="A177" s="13"/>
      <c r="B177" s="13"/>
      <c r="C177" s="14"/>
      <c r="D177" s="14"/>
      <c r="E177" s="15"/>
      <c r="F177" s="15"/>
      <c r="G177" s="14"/>
      <c r="H177" s="13"/>
      <c r="I177" s="16" t="str">
        <f aca="false">IF($C177&lt;&gt;"","Actual orders",IF($D177&lt;&gt;"","Est. from traffic",IF($E177&lt;&gt;"","Est. from revenue","")))</f>
        <v/>
      </c>
      <c r="J177" s="17" t="str">
        <f aca="false">IF($C177&lt;&gt;"",$C177,IF($D177&lt;&gt;"",$D177*IFERROR(INDEX(Assumptions!$C$31:$C$42,MATCH($B177,Assumptions!$B$31:$B$42,0)),Assumptions!$C$19),IF($E177&lt;&gt;"",$E177*1000000/12/IF($F177&lt;&gt;"",$F177,IFERROR(INDEX(Assumptions!$D$31:$D$42,MATCH($B177,Assumptions!$B$31:$B$42,0)),Assumptions!$C$20)),"")))</f>
        <v/>
      </c>
      <c r="K177" s="17" t="str">
        <f aca="false">IF($J177="","",$J177/Assumptions!$C$27)</f>
        <v/>
      </c>
      <c r="L177" s="18" t="str">
        <f aca="false">IF($K177="","",MAX(Assumptions!$C$9*Assumptions!$C$25/($K177*Assumptions!$C$10),0))</f>
        <v/>
      </c>
      <c r="M177" s="18" t="str">
        <f aca="false">IF($K177="","",MAX(Assumptions!$C$9*Assumptions!$C$26/($K177*Assumptions!$C$10),0))</f>
        <v/>
      </c>
      <c r="N177" s="19" t="str">
        <f aca="false">IF($K177="","",MIN(Assumptions!$C$14,52/MAX(Assumptions!$C$9*Assumptions!$C$25/($K177*Assumptions!$C$10),Assumptions!$C$13)))</f>
        <v/>
      </c>
      <c r="O177" s="20" t="str">
        <f aca="false">IF($K177="","",IF($K177&gt;=Assumptions!$C$16,"Tier 1",IF($K177&gt;=Assumptions!$C$17,"Tier 2",IF(AND($G177&lt;&gt;"",$G177&gt;=Assumptions!$C$17),"Tier 3 — micro-conversion tests only","Tier 3"))))</f>
        <v/>
      </c>
      <c r="P177" s="16" t="str">
        <f aca="false">IF(O177="","",IF(LEFT(O177,6)="Tier 1","Pursue — offer trial; 2-week tests on purchase metrics",IF(LEFT(O177,6)="Tier 2","Qualify — trial on top-traffic pages only; bold tests (≥10% lift)",IF(O177="Tier 3","Don't trial A/B — nurture or sell non-testing services","Trial only if tests are scored on CTA clicks / leads, not purchases"))))</f>
        <v/>
      </c>
    </row>
    <row r="178" customFormat="false" ht="15" hidden="false" customHeight="false" outlineLevel="0" collapsed="false">
      <c r="A178" s="13"/>
      <c r="B178" s="13"/>
      <c r="C178" s="14"/>
      <c r="D178" s="14"/>
      <c r="E178" s="15"/>
      <c r="F178" s="15"/>
      <c r="G178" s="14"/>
      <c r="H178" s="13"/>
      <c r="I178" s="16" t="str">
        <f aca="false">IF($C178&lt;&gt;"","Actual orders",IF($D178&lt;&gt;"","Est. from traffic",IF($E178&lt;&gt;"","Est. from revenue","")))</f>
        <v/>
      </c>
      <c r="J178" s="17" t="str">
        <f aca="false">IF($C178&lt;&gt;"",$C178,IF($D178&lt;&gt;"",$D178*IFERROR(INDEX(Assumptions!$C$31:$C$42,MATCH($B178,Assumptions!$B$31:$B$42,0)),Assumptions!$C$19),IF($E178&lt;&gt;"",$E178*1000000/12/IF($F178&lt;&gt;"",$F178,IFERROR(INDEX(Assumptions!$D$31:$D$42,MATCH($B178,Assumptions!$B$31:$B$42,0)),Assumptions!$C$20)),"")))</f>
        <v/>
      </c>
      <c r="K178" s="17" t="str">
        <f aca="false">IF($J178="","",$J178/Assumptions!$C$27)</f>
        <v/>
      </c>
      <c r="L178" s="18" t="str">
        <f aca="false">IF($K178="","",MAX(Assumptions!$C$9*Assumptions!$C$25/($K178*Assumptions!$C$10),0))</f>
        <v/>
      </c>
      <c r="M178" s="18" t="str">
        <f aca="false">IF($K178="","",MAX(Assumptions!$C$9*Assumptions!$C$26/($K178*Assumptions!$C$10),0))</f>
        <v/>
      </c>
      <c r="N178" s="19" t="str">
        <f aca="false">IF($K178="","",MIN(Assumptions!$C$14,52/MAX(Assumptions!$C$9*Assumptions!$C$25/($K178*Assumptions!$C$10),Assumptions!$C$13)))</f>
        <v/>
      </c>
      <c r="O178" s="20" t="str">
        <f aca="false">IF($K178="","",IF($K178&gt;=Assumptions!$C$16,"Tier 1",IF($K178&gt;=Assumptions!$C$17,"Tier 2",IF(AND($G178&lt;&gt;"",$G178&gt;=Assumptions!$C$17),"Tier 3 — micro-conversion tests only","Tier 3"))))</f>
        <v/>
      </c>
      <c r="P178" s="16" t="str">
        <f aca="false">IF(O178="","",IF(LEFT(O178,6)="Tier 1","Pursue — offer trial; 2-week tests on purchase metrics",IF(LEFT(O178,6)="Tier 2","Qualify — trial on top-traffic pages only; bold tests (≥10% lift)",IF(O178="Tier 3","Don't trial A/B — nurture or sell non-testing services","Trial only if tests are scored on CTA clicks / leads, not purchases"))))</f>
        <v/>
      </c>
    </row>
    <row r="179" customFormat="false" ht="15" hidden="false" customHeight="false" outlineLevel="0" collapsed="false">
      <c r="A179" s="13"/>
      <c r="B179" s="13"/>
      <c r="C179" s="14"/>
      <c r="D179" s="14"/>
      <c r="E179" s="15"/>
      <c r="F179" s="15"/>
      <c r="G179" s="14"/>
      <c r="H179" s="13"/>
      <c r="I179" s="16" t="str">
        <f aca="false">IF($C179&lt;&gt;"","Actual orders",IF($D179&lt;&gt;"","Est. from traffic",IF($E179&lt;&gt;"","Est. from revenue","")))</f>
        <v/>
      </c>
      <c r="J179" s="17" t="str">
        <f aca="false">IF($C179&lt;&gt;"",$C179,IF($D179&lt;&gt;"",$D179*IFERROR(INDEX(Assumptions!$C$31:$C$42,MATCH($B179,Assumptions!$B$31:$B$42,0)),Assumptions!$C$19),IF($E179&lt;&gt;"",$E179*1000000/12/IF($F179&lt;&gt;"",$F179,IFERROR(INDEX(Assumptions!$D$31:$D$42,MATCH($B179,Assumptions!$B$31:$B$42,0)),Assumptions!$C$20)),"")))</f>
        <v/>
      </c>
      <c r="K179" s="17" t="str">
        <f aca="false">IF($J179="","",$J179/Assumptions!$C$27)</f>
        <v/>
      </c>
      <c r="L179" s="18" t="str">
        <f aca="false">IF($K179="","",MAX(Assumptions!$C$9*Assumptions!$C$25/($K179*Assumptions!$C$10),0))</f>
        <v/>
      </c>
      <c r="M179" s="18" t="str">
        <f aca="false">IF($K179="","",MAX(Assumptions!$C$9*Assumptions!$C$26/($K179*Assumptions!$C$10),0))</f>
        <v/>
      </c>
      <c r="N179" s="19" t="str">
        <f aca="false">IF($K179="","",MIN(Assumptions!$C$14,52/MAX(Assumptions!$C$9*Assumptions!$C$25/($K179*Assumptions!$C$10),Assumptions!$C$13)))</f>
        <v/>
      </c>
      <c r="O179" s="20" t="str">
        <f aca="false">IF($K179="","",IF($K179&gt;=Assumptions!$C$16,"Tier 1",IF($K179&gt;=Assumptions!$C$17,"Tier 2",IF(AND($G179&lt;&gt;"",$G179&gt;=Assumptions!$C$17),"Tier 3 — micro-conversion tests only","Tier 3"))))</f>
        <v/>
      </c>
      <c r="P179" s="16" t="str">
        <f aca="false">IF(O179="","",IF(LEFT(O179,6)="Tier 1","Pursue — offer trial; 2-week tests on purchase metrics",IF(LEFT(O179,6)="Tier 2","Qualify — trial on top-traffic pages only; bold tests (≥10% lift)",IF(O179="Tier 3","Don't trial A/B — nurture or sell non-testing services","Trial only if tests are scored on CTA clicks / leads, not purchases"))))</f>
        <v/>
      </c>
    </row>
    <row r="180" customFormat="false" ht="15" hidden="false" customHeight="false" outlineLevel="0" collapsed="false">
      <c r="A180" s="13"/>
      <c r="B180" s="13"/>
      <c r="C180" s="14"/>
      <c r="D180" s="14"/>
      <c r="E180" s="15"/>
      <c r="F180" s="15"/>
      <c r="G180" s="14"/>
      <c r="H180" s="13"/>
      <c r="I180" s="16" t="str">
        <f aca="false">IF($C180&lt;&gt;"","Actual orders",IF($D180&lt;&gt;"","Est. from traffic",IF($E180&lt;&gt;"","Est. from revenue","")))</f>
        <v/>
      </c>
      <c r="J180" s="17" t="str">
        <f aca="false">IF($C180&lt;&gt;"",$C180,IF($D180&lt;&gt;"",$D180*IFERROR(INDEX(Assumptions!$C$31:$C$42,MATCH($B180,Assumptions!$B$31:$B$42,0)),Assumptions!$C$19),IF($E180&lt;&gt;"",$E180*1000000/12/IF($F180&lt;&gt;"",$F180,IFERROR(INDEX(Assumptions!$D$31:$D$42,MATCH($B180,Assumptions!$B$31:$B$42,0)),Assumptions!$C$20)),"")))</f>
        <v/>
      </c>
      <c r="K180" s="17" t="str">
        <f aca="false">IF($J180="","",$J180/Assumptions!$C$27)</f>
        <v/>
      </c>
      <c r="L180" s="18" t="str">
        <f aca="false">IF($K180="","",MAX(Assumptions!$C$9*Assumptions!$C$25/($K180*Assumptions!$C$10),0))</f>
        <v/>
      </c>
      <c r="M180" s="18" t="str">
        <f aca="false">IF($K180="","",MAX(Assumptions!$C$9*Assumptions!$C$26/($K180*Assumptions!$C$10),0))</f>
        <v/>
      </c>
      <c r="N180" s="19" t="str">
        <f aca="false">IF($K180="","",MIN(Assumptions!$C$14,52/MAX(Assumptions!$C$9*Assumptions!$C$25/($K180*Assumptions!$C$10),Assumptions!$C$13)))</f>
        <v/>
      </c>
      <c r="O180" s="20" t="str">
        <f aca="false">IF($K180="","",IF($K180&gt;=Assumptions!$C$16,"Tier 1",IF($K180&gt;=Assumptions!$C$17,"Tier 2",IF(AND($G180&lt;&gt;"",$G180&gt;=Assumptions!$C$17),"Tier 3 — micro-conversion tests only","Tier 3"))))</f>
        <v/>
      </c>
      <c r="P180" s="16" t="str">
        <f aca="false">IF(O180="","",IF(LEFT(O180,6)="Tier 1","Pursue — offer trial; 2-week tests on purchase metrics",IF(LEFT(O180,6)="Tier 2","Qualify — trial on top-traffic pages only; bold tests (≥10% lift)",IF(O180="Tier 3","Don't trial A/B — nurture or sell non-testing services","Trial only if tests are scored on CTA clicks / leads, not purchases"))))</f>
        <v/>
      </c>
    </row>
    <row r="181" customFormat="false" ht="15" hidden="false" customHeight="false" outlineLevel="0" collapsed="false">
      <c r="A181" s="13"/>
      <c r="B181" s="13"/>
      <c r="C181" s="14"/>
      <c r="D181" s="14"/>
      <c r="E181" s="15"/>
      <c r="F181" s="15"/>
      <c r="G181" s="14"/>
      <c r="H181" s="13"/>
      <c r="I181" s="16" t="str">
        <f aca="false">IF($C181&lt;&gt;"","Actual orders",IF($D181&lt;&gt;"","Est. from traffic",IF($E181&lt;&gt;"","Est. from revenue","")))</f>
        <v/>
      </c>
      <c r="J181" s="17" t="str">
        <f aca="false">IF($C181&lt;&gt;"",$C181,IF($D181&lt;&gt;"",$D181*IFERROR(INDEX(Assumptions!$C$31:$C$42,MATCH($B181,Assumptions!$B$31:$B$42,0)),Assumptions!$C$19),IF($E181&lt;&gt;"",$E181*1000000/12/IF($F181&lt;&gt;"",$F181,IFERROR(INDEX(Assumptions!$D$31:$D$42,MATCH($B181,Assumptions!$B$31:$B$42,0)),Assumptions!$C$20)),"")))</f>
        <v/>
      </c>
      <c r="K181" s="17" t="str">
        <f aca="false">IF($J181="","",$J181/Assumptions!$C$27)</f>
        <v/>
      </c>
      <c r="L181" s="18" t="str">
        <f aca="false">IF($K181="","",MAX(Assumptions!$C$9*Assumptions!$C$25/($K181*Assumptions!$C$10),0))</f>
        <v/>
      </c>
      <c r="M181" s="18" t="str">
        <f aca="false">IF($K181="","",MAX(Assumptions!$C$9*Assumptions!$C$26/($K181*Assumptions!$C$10),0))</f>
        <v/>
      </c>
      <c r="N181" s="19" t="str">
        <f aca="false">IF($K181="","",MIN(Assumptions!$C$14,52/MAX(Assumptions!$C$9*Assumptions!$C$25/($K181*Assumptions!$C$10),Assumptions!$C$13)))</f>
        <v/>
      </c>
      <c r="O181" s="20" t="str">
        <f aca="false">IF($K181="","",IF($K181&gt;=Assumptions!$C$16,"Tier 1",IF($K181&gt;=Assumptions!$C$17,"Tier 2",IF(AND($G181&lt;&gt;"",$G181&gt;=Assumptions!$C$17),"Tier 3 — micro-conversion tests only","Tier 3"))))</f>
        <v/>
      </c>
      <c r="P181" s="16" t="str">
        <f aca="false">IF(O181="","",IF(LEFT(O181,6)="Tier 1","Pursue — offer trial; 2-week tests on purchase metrics",IF(LEFT(O181,6)="Tier 2","Qualify — trial on top-traffic pages only; bold tests (≥10% lift)",IF(O181="Tier 3","Don't trial A/B — nurture or sell non-testing services","Trial only if tests are scored on CTA clicks / leads, not purchases"))))</f>
        <v/>
      </c>
    </row>
    <row r="182" customFormat="false" ht="15" hidden="false" customHeight="false" outlineLevel="0" collapsed="false">
      <c r="A182" s="13"/>
      <c r="B182" s="13"/>
      <c r="C182" s="14"/>
      <c r="D182" s="14"/>
      <c r="E182" s="15"/>
      <c r="F182" s="15"/>
      <c r="G182" s="14"/>
      <c r="H182" s="13"/>
      <c r="I182" s="16" t="str">
        <f aca="false">IF($C182&lt;&gt;"","Actual orders",IF($D182&lt;&gt;"","Est. from traffic",IF($E182&lt;&gt;"","Est. from revenue","")))</f>
        <v/>
      </c>
      <c r="J182" s="17" t="str">
        <f aca="false">IF($C182&lt;&gt;"",$C182,IF($D182&lt;&gt;"",$D182*IFERROR(INDEX(Assumptions!$C$31:$C$42,MATCH($B182,Assumptions!$B$31:$B$42,0)),Assumptions!$C$19),IF($E182&lt;&gt;"",$E182*1000000/12/IF($F182&lt;&gt;"",$F182,IFERROR(INDEX(Assumptions!$D$31:$D$42,MATCH($B182,Assumptions!$B$31:$B$42,0)),Assumptions!$C$20)),"")))</f>
        <v/>
      </c>
      <c r="K182" s="17" t="str">
        <f aca="false">IF($J182="","",$J182/Assumptions!$C$27)</f>
        <v/>
      </c>
      <c r="L182" s="18" t="str">
        <f aca="false">IF($K182="","",MAX(Assumptions!$C$9*Assumptions!$C$25/($K182*Assumptions!$C$10),0))</f>
        <v/>
      </c>
      <c r="M182" s="18" t="str">
        <f aca="false">IF($K182="","",MAX(Assumptions!$C$9*Assumptions!$C$26/($K182*Assumptions!$C$10),0))</f>
        <v/>
      </c>
      <c r="N182" s="19" t="str">
        <f aca="false">IF($K182="","",MIN(Assumptions!$C$14,52/MAX(Assumptions!$C$9*Assumptions!$C$25/($K182*Assumptions!$C$10),Assumptions!$C$13)))</f>
        <v/>
      </c>
      <c r="O182" s="20" t="str">
        <f aca="false">IF($K182="","",IF($K182&gt;=Assumptions!$C$16,"Tier 1",IF($K182&gt;=Assumptions!$C$17,"Tier 2",IF(AND($G182&lt;&gt;"",$G182&gt;=Assumptions!$C$17),"Tier 3 — micro-conversion tests only","Tier 3"))))</f>
        <v/>
      </c>
      <c r="P182" s="16" t="str">
        <f aca="false">IF(O182="","",IF(LEFT(O182,6)="Tier 1","Pursue — offer trial; 2-week tests on purchase metrics",IF(LEFT(O182,6)="Tier 2","Qualify — trial on top-traffic pages only; bold tests (≥10% lift)",IF(O182="Tier 3","Don't trial A/B — nurture or sell non-testing services","Trial only if tests are scored on CTA clicks / leads, not purchases"))))</f>
        <v/>
      </c>
    </row>
    <row r="183" customFormat="false" ht="15" hidden="false" customHeight="false" outlineLevel="0" collapsed="false">
      <c r="A183" s="13"/>
      <c r="B183" s="13"/>
      <c r="C183" s="14"/>
      <c r="D183" s="14"/>
      <c r="E183" s="15"/>
      <c r="F183" s="15"/>
      <c r="G183" s="14"/>
      <c r="H183" s="13"/>
      <c r="I183" s="16" t="str">
        <f aca="false">IF($C183&lt;&gt;"","Actual orders",IF($D183&lt;&gt;"","Est. from traffic",IF($E183&lt;&gt;"","Est. from revenue","")))</f>
        <v/>
      </c>
      <c r="J183" s="17" t="str">
        <f aca="false">IF($C183&lt;&gt;"",$C183,IF($D183&lt;&gt;"",$D183*IFERROR(INDEX(Assumptions!$C$31:$C$42,MATCH($B183,Assumptions!$B$31:$B$42,0)),Assumptions!$C$19),IF($E183&lt;&gt;"",$E183*1000000/12/IF($F183&lt;&gt;"",$F183,IFERROR(INDEX(Assumptions!$D$31:$D$42,MATCH($B183,Assumptions!$B$31:$B$42,0)),Assumptions!$C$20)),"")))</f>
        <v/>
      </c>
      <c r="K183" s="17" t="str">
        <f aca="false">IF($J183="","",$J183/Assumptions!$C$27)</f>
        <v/>
      </c>
      <c r="L183" s="18" t="str">
        <f aca="false">IF($K183="","",MAX(Assumptions!$C$9*Assumptions!$C$25/($K183*Assumptions!$C$10),0))</f>
        <v/>
      </c>
      <c r="M183" s="18" t="str">
        <f aca="false">IF($K183="","",MAX(Assumptions!$C$9*Assumptions!$C$26/($K183*Assumptions!$C$10),0))</f>
        <v/>
      </c>
      <c r="N183" s="19" t="str">
        <f aca="false">IF($K183="","",MIN(Assumptions!$C$14,52/MAX(Assumptions!$C$9*Assumptions!$C$25/($K183*Assumptions!$C$10),Assumptions!$C$13)))</f>
        <v/>
      </c>
      <c r="O183" s="20" t="str">
        <f aca="false">IF($K183="","",IF($K183&gt;=Assumptions!$C$16,"Tier 1",IF($K183&gt;=Assumptions!$C$17,"Tier 2",IF(AND($G183&lt;&gt;"",$G183&gt;=Assumptions!$C$17),"Tier 3 — micro-conversion tests only","Tier 3"))))</f>
        <v/>
      </c>
      <c r="P183" s="16" t="str">
        <f aca="false">IF(O183="","",IF(LEFT(O183,6)="Tier 1","Pursue — offer trial; 2-week tests on purchase metrics",IF(LEFT(O183,6)="Tier 2","Qualify — trial on top-traffic pages only; bold tests (≥10% lift)",IF(O183="Tier 3","Don't trial A/B — nurture or sell non-testing services","Trial only if tests are scored on CTA clicks / leads, not purchases"))))</f>
        <v/>
      </c>
    </row>
    <row r="184" customFormat="false" ht="15" hidden="false" customHeight="false" outlineLevel="0" collapsed="false">
      <c r="A184" s="13"/>
      <c r="B184" s="13"/>
      <c r="C184" s="14"/>
      <c r="D184" s="14"/>
      <c r="E184" s="15"/>
      <c r="F184" s="15"/>
      <c r="G184" s="14"/>
      <c r="H184" s="13"/>
      <c r="I184" s="16" t="str">
        <f aca="false">IF($C184&lt;&gt;"","Actual orders",IF($D184&lt;&gt;"","Est. from traffic",IF($E184&lt;&gt;"","Est. from revenue","")))</f>
        <v/>
      </c>
      <c r="J184" s="17" t="str">
        <f aca="false">IF($C184&lt;&gt;"",$C184,IF($D184&lt;&gt;"",$D184*IFERROR(INDEX(Assumptions!$C$31:$C$42,MATCH($B184,Assumptions!$B$31:$B$42,0)),Assumptions!$C$19),IF($E184&lt;&gt;"",$E184*1000000/12/IF($F184&lt;&gt;"",$F184,IFERROR(INDEX(Assumptions!$D$31:$D$42,MATCH($B184,Assumptions!$B$31:$B$42,0)),Assumptions!$C$20)),"")))</f>
        <v/>
      </c>
      <c r="K184" s="17" t="str">
        <f aca="false">IF($J184="","",$J184/Assumptions!$C$27)</f>
        <v/>
      </c>
      <c r="L184" s="18" t="str">
        <f aca="false">IF($K184="","",MAX(Assumptions!$C$9*Assumptions!$C$25/($K184*Assumptions!$C$10),0))</f>
        <v/>
      </c>
      <c r="M184" s="18" t="str">
        <f aca="false">IF($K184="","",MAX(Assumptions!$C$9*Assumptions!$C$26/($K184*Assumptions!$C$10),0))</f>
        <v/>
      </c>
      <c r="N184" s="19" t="str">
        <f aca="false">IF($K184="","",MIN(Assumptions!$C$14,52/MAX(Assumptions!$C$9*Assumptions!$C$25/($K184*Assumptions!$C$10),Assumptions!$C$13)))</f>
        <v/>
      </c>
      <c r="O184" s="20" t="str">
        <f aca="false">IF($K184="","",IF($K184&gt;=Assumptions!$C$16,"Tier 1",IF($K184&gt;=Assumptions!$C$17,"Tier 2",IF(AND($G184&lt;&gt;"",$G184&gt;=Assumptions!$C$17),"Tier 3 — micro-conversion tests only","Tier 3"))))</f>
        <v/>
      </c>
      <c r="P184" s="16" t="str">
        <f aca="false">IF(O184="","",IF(LEFT(O184,6)="Tier 1","Pursue — offer trial; 2-week tests on purchase metrics",IF(LEFT(O184,6)="Tier 2","Qualify — trial on top-traffic pages only; bold tests (≥10% lift)",IF(O184="Tier 3","Don't trial A/B — nurture or sell non-testing services","Trial only if tests are scored on CTA clicks / leads, not purchases"))))</f>
        <v/>
      </c>
    </row>
    <row r="185" customFormat="false" ht="15" hidden="false" customHeight="false" outlineLevel="0" collapsed="false">
      <c r="A185" s="13"/>
      <c r="B185" s="13"/>
      <c r="C185" s="14"/>
      <c r="D185" s="14"/>
      <c r="E185" s="15"/>
      <c r="F185" s="15"/>
      <c r="G185" s="14"/>
      <c r="H185" s="13"/>
      <c r="I185" s="16" t="str">
        <f aca="false">IF($C185&lt;&gt;"","Actual orders",IF($D185&lt;&gt;"","Est. from traffic",IF($E185&lt;&gt;"","Est. from revenue","")))</f>
        <v/>
      </c>
      <c r="J185" s="17" t="str">
        <f aca="false">IF($C185&lt;&gt;"",$C185,IF($D185&lt;&gt;"",$D185*IFERROR(INDEX(Assumptions!$C$31:$C$42,MATCH($B185,Assumptions!$B$31:$B$42,0)),Assumptions!$C$19),IF($E185&lt;&gt;"",$E185*1000000/12/IF($F185&lt;&gt;"",$F185,IFERROR(INDEX(Assumptions!$D$31:$D$42,MATCH($B185,Assumptions!$B$31:$B$42,0)),Assumptions!$C$20)),"")))</f>
        <v/>
      </c>
      <c r="K185" s="17" t="str">
        <f aca="false">IF($J185="","",$J185/Assumptions!$C$27)</f>
        <v/>
      </c>
      <c r="L185" s="18" t="str">
        <f aca="false">IF($K185="","",MAX(Assumptions!$C$9*Assumptions!$C$25/($K185*Assumptions!$C$10),0))</f>
        <v/>
      </c>
      <c r="M185" s="18" t="str">
        <f aca="false">IF($K185="","",MAX(Assumptions!$C$9*Assumptions!$C$26/($K185*Assumptions!$C$10),0))</f>
        <v/>
      </c>
      <c r="N185" s="19" t="str">
        <f aca="false">IF($K185="","",MIN(Assumptions!$C$14,52/MAX(Assumptions!$C$9*Assumptions!$C$25/($K185*Assumptions!$C$10),Assumptions!$C$13)))</f>
        <v/>
      </c>
      <c r="O185" s="20" t="str">
        <f aca="false">IF($K185="","",IF($K185&gt;=Assumptions!$C$16,"Tier 1",IF($K185&gt;=Assumptions!$C$17,"Tier 2",IF(AND($G185&lt;&gt;"",$G185&gt;=Assumptions!$C$17),"Tier 3 — micro-conversion tests only","Tier 3"))))</f>
        <v/>
      </c>
      <c r="P185" s="16" t="str">
        <f aca="false">IF(O185="","",IF(LEFT(O185,6)="Tier 1","Pursue — offer trial; 2-week tests on purchase metrics",IF(LEFT(O185,6)="Tier 2","Qualify — trial on top-traffic pages only; bold tests (≥10% lift)",IF(O185="Tier 3","Don't trial A/B — nurture or sell non-testing services","Trial only if tests are scored on CTA clicks / leads, not purchases"))))</f>
        <v/>
      </c>
    </row>
    <row r="186" customFormat="false" ht="15" hidden="false" customHeight="false" outlineLevel="0" collapsed="false">
      <c r="A186" s="13"/>
      <c r="B186" s="13"/>
      <c r="C186" s="14"/>
      <c r="D186" s="14"/>
      <c r="E186" s="15"/>
      <c r="F186" s="15"/>
      <c r="G186" s="14"/>
      <c r="H186" s="13"/>
      <c r="I186" s="16" t="str">
        <f aca="false">IF($C186&lt;&gt;"","Actual orders",IF($D186&lt;&gt;"","Est. from traffic",IF($E186&lt;&gt;"","Est. from revenue","")))</f>
        <v/>
      </c>
      <c r="J186" s="17" t="str">
        <f aca="false">IF($C186&lt;&gt;"",$C186,IF($D186&lt;&gt;"",$D186*IFERROR(INDEX(Assumptions!$C$31:$C$42,MATCH($B186,Assumptions!$B$31:$B$42,0)),Assumptions!$C$19),IF($E186&lt;&gt;"",$E186*1000000/12/IF($F186&lt;&gt;"",$F186,IFERROR(INDEX(Assumptions!$D$31:$D$42,MATCH($B186,Assumptions!$B$31:$B$42,0)),Assumptions!$C$20)),"")))</f>
        <v/>
      </c>
      <c r="K186" s="17" t="str">
        <f aca="false">IF($J186="","",$J186/Assumptions!$C$27)</f>
        <v/>
      </c>
      <c r="L186" s="18" t="str">
        <f aca="false">IF($K186="","",MAX(Assumptions!$C$9*Assumptions!$C$25/($K186*Assumptions!$C$10),0))</f>
        <v/>
      </c>
      <c r="M186" s="18" t="str">
        <f aca="false">IF($K186="","",MAX(Assumptions!$C$9*Assumptions!$C$26/($K186*Assumptions!$C$10),0))</f>
        <v/>
      </c>
      <c r="N186" s="19" t="str">
        <f aca="false">IF($K186="","",MIN(Assumptions!$C$14,52/MAX(Assumptions!$C$9*Assumptions!$C$25/($K186*Assumptions!$C$10),Assumptions!$C$13)))</f>
        <v/>
      </c>
      <c r="O186" s="20" t="str">
        <f aca="false">IF($K186="","",IF($K186&gt;=Assumptions!$C$16,"Tier 1",IF($K186&gt;=Assumptions!$C$17,"Tier 2",IF(AND($G186&lt;&gt;"",$G186&gt;=Assumptions!$C$17),"Tier 3 — micro-conversion tests only","Tier 3"))))</f>
        <v/>
      </c>
      <c r="P186" s="16" t="str">
        <f aca="false">IF(O186="","",IF(LEFT(O186,6)="Tier 1","Pursue — offer trial; 2-week tests on purchase metrics",IF(LEFT(O186,6)="Tier 2","Qualify — trial on top-traffic pages only; bold tests (≥10% lift)",IF(O186="Tier 3","Don't trial A/B — nurture or sell non-testing services","Trial only if tests are scored on CTA clicks / leads, not purchases"))))</f>
        <v/>
      </c>
    </row>
    <row r="187" customFormat="false" ht="15" hidden="false" customHeight="false" outlineLevel="0" collapsed="false">
      <c r="A187" s="13"/>
      <c r="B187" s="13"/>
      <c r="C187" s="14"/>
      <c r="D187" s="14"/>
      <c r="E187" s="15"/>
      <c r="F187" s="15"/>
      <c r="G187" s="14"/>
      <c r="H187" s="13"/>
      <c r="I187" s="16" t="str">
        <f aca="false">IF($C187&lt;&gt;"","Actual orders",IF($D187&lt;&gt;"","Est. from traffic",IF($E187&lt;&gt;"","Est. from revenue","")))</f>
        <v/>
      </c>
      <c r="J187" s="17" t="str">
        <f aca="false">IF($C187&lt;&gt;"",$C187,IF($D187&lt;&gt;"",$D187*IFERROR(INDEX(Assumptions!$C$31:$C$42,MATCH($B187,Assumptions!$B$31:$B$42,0)),Assumptions!$C$19),IF($E187&lt;&gt;"",$E187*1000000/12/IF($F187&lt;&gt;"",$F187,IFERROR(INDEX(Assumptions!$D$31:$D$42,MATCH($B187,Assumptions!$B$31:$B$42,0)),Assumptions!$C$20)),"")))</f>
        <v/>
      </c>
      <c r="K187" s="17" t="str">
        <f aca="false">IF($J187="","",$J187/Assumptions!$C$27)</f>
        <v/>
      </c>
      <c r="L187" s="18" t="str">
        <f aca="false">IF($K187="","",MAX(Assumptions!$C$9*Assumptions!$C$25/($K187*Assumptions!$C$10),0))</f>
        <v/>
      </c>
      <c r="M187" s="18" t="str">
        <f aca="false">IF($K187="","",MAX(Assumptions!$C$9*Assumptions!$C$26/($K187*Assumptions!$C$10),0))</f>
        <v/>
      </c>
      <c r="N187" s="19" t="str">
        <f aca="false">IF($K187="","",MIN(Assumptions!$C$14,52/MAX(Assumptions!$C$9*Assumptions!$C$25/($K187*Assumptions!$C$10),Assumptions!$C$13)))</f>
        <v/>
      </c>
      <c r="O187" s="20" t="str">
        <f aca="false">IF($K187="","",IF($K187&gt;=Assumptions!$C$16,"Tier 1",IF($K187&gt;=Assumptions!$C$17,"Tier 2",IF(AND($G187&lt;&gt;"",$G187&gt;=Assumptions!$C$17),"Tier 3 — micro-conversion tests only","Tier 3"))))</f>
        <v/>
      </c>
      <c r="P187" s="16" t="str">
        <f aca="false">IF(O187="","",IF(LEFT(O187,6)="Tier 1","Pursue — offer trial; 2-week tests on purchase metrics",IF(LEFT(O187,6)="Tier 2","Qualify — trial on top-traffic pages only; bold tests (≥10% lift)",IF(O187="Tier 3","Don't trial A/B — nurture or sell non-testing services","Trial only if tests are scored on CTA clicks / leads, not purchases"))))</f>
        <v/>
      </c>
    </row>
    <row r="188" customFormat="false" ht="15" hidden="false" customHeight="false" outlineLevel="0" collapsed="false">
      <c r="A188" s="13"/>
      <c r="B188" s="13"/>
      <c r="C188" s="14"/>
      <c r="D188" s="14"/>
      <c r="E188" s="15"/>
      <c r="F188" s="15"/>
      <c r="G188" s="14"/>
      <c r="H188" s="13"/>
      <c r="I188" s="16" t="str">
        <f aca="false">IF($C188&lt;&gt;"","Actual orders",IF($D188&lt;&gt;"","Est. from traffic",IF($E188&lt;&gt;"","Est. from revenue","")))</f>
        <v/>
      </c>
      <c r="J188" s="17" t="str">
        <f aca="false">IF($C188&lt;&gt;"",$C188,IF($D188&lt;&gt;"",$D188*IFERROR(INDEX(Assumptions!$C$31:$C$42,MATCH($B188,Assumptions!$B$31:$B$42,0)),Assumptions!$C$19),IF($E188&lt;&gt;"",$E188*1000000/12/IF($F188&lt;&gt;"",$F188,IFERROR(INDEX(Assumptions!$D$31:$D$42,MATCH($B188,Assumptions!$B$31:$B$42,0)),Assumptions!$C$20)),"")))</f>
        <v/>
      </c>
      <c r="K188" s="17" t="str">
        <f aca="false">IF($J188="","",$J188/Assumptions!$C$27)</f>
        <v/>
      </c>
      <c r="L188" s="18" t="str">
        <f aca="false">IF($K188="","",MAX(Assumptions!$C$9*Assumptions!$C$25/($K188*Assumptions!$C$10),0))</f>
        <v/>
      </c>
      <c r="M188" s="18" t="str">
        <f aca="false">IF($K188="","",MAX(Assumptions!$C$9*Assumptions!$C$26/($K188*Assumptions!$C$10),0))</f>
        <v/>
      </c>
      <c r="N188" s="19" t="str">
        <f aca="false">IF($K188="","",MIN(Assumptions!$C$14,52/MAX(Assumptions!$C$9*Assumptions!$C$25/($K188*Assumptions!$C$10),Assumptions!$C$13)))</f>
        <v/>
      </c>
      <c r="O188" s="20" t="str">
        <f aca="false">IF($K188="","",IF($K188&gt;=Assumptions!$C$16,"Tier 1",IF($K188&gt;=Assumptions!$C$17,"Tier 2",IF(AND($G188&lt;&gt;"",$G188&gt;=Assumptions!$C$17),"Tier 3 — micro-conversion tests only","Tier 3"))))</f>
        <v/>
      </c>
      <c r="P188" s="16" t="str">
        <f aca="false">IF(O188="","",IF(LEFT(O188,6)="Tier 1","Pursue — offer trial; 2-week tests on purchase metrics",IF(LEFT(O188,6)="Tier 2","Qualify — trial on top-traffic pages only; bold tests (≥10% lift)",IF(O188="Tier 3","Don't trial A/B — nurture or sell non-testing services","Trial only if tests are scored on CTA clicks / leads, not purchases"))))</f>
        <v/>
      </c>
    </row>
    <row r="189" customFormat="false" ht="15" hidden="false" customHeight="false" outlineLevel="0" collapsed="false">
      <c r="A189" s="13"/>
      <c r="B189" s="13"/>
      <c r="C189" s="14"/>
      <c r="D189" s="14"/>
      <c r="E189" s="15"/>
      <c r="F189" s="15"/>
      <c r="G189" s="14"/>
      <c r="H189" s="13"/>
      <c r="I189" s="16" t="str">
        <f aca="false">IF($C189&lt;&gt;"","Actual orders",IF($D189&lt;&gt;"","Est. from traffic",IF($E189&lt;&gt;"","Est. from revenue","")))</f>
        <v/>
      </c>
      <c r="J189" s="17" t="str">
        <f aca="false">IF($C189&lt;&gt;"",$C189,IF($D189&lt;&gt;"",$D189*IFERROR(INDEX(Assumptions!$C$31:$C$42,MATCH($B189,Assumptions!$B$31:$B$42,0)),Assumptions!$C$19),IF($E189&lt;&gt;"",$E189*1000000/12/IF($F189&lt;&gt;"",$F189,IFERROR(INDEX(Assumptions!$D$31:$D$42,MATCH($B189,Assumptions!$B$31:$B$42,0)),Assumptions!$C$20)),"")))</f>
        <v/>
      </c>
      <c r="K189" s="17" t="str">
        <f aca="false">IF($J189="","",$J189/Assumptions!$C$27)</f>
        <v/>
      </c>
      <c r="L189" s="18" t="str">
        <f aca="false">IF($K189="","",MAX(Assumptions!$C$9*Assumptions!$C$25/($K189*Assumptions!$C$10),0))</f>
        <v/>
      </c>
      <c r="M189" s="18" t="str">
        <f aca="false">IF($K189="","",MAX(Assumptions!$C$9*Assumptions!$C$26/($K189*Assumptions!$C$10),0))</f>
        <v/>
      </c>
      <c r="N189" s="19" t="str">
        <f aca="false">IF($K189="","",MIN(Assumptions!$C$14,52/MAX(Assumptions!$C$9*Assumptions!$C$25/($K189*Assumptions!$C$10),Assumptions!$C$13)))</f>
        <v/>
      </c>
      <c r="O189" s="20" t="str">
        <f aca="false">IF($K189="","",IF($K189&gt;=Assumptions!$C$16,"Tier 1",IF($K189&gt;=Assumptions!$C$17,"Tier 2",IF(AND($G189&lt;&gt;"",$G189&gt;=Assumptions!$C$17),"Tier 3 — micro-conversion tests only","Tier 3"))))</f>
        <v/>
      </c>
      <c r="P189" s="16" t="str">
        <f aca="false">IF(O189="","",IF(LEFT(O189,6)="Tier 1","Pursue — offer trial; 2-week tests on purchase metrics",IF(LEFT(O189,6)="Tier 2","Qualify — trial on top-traffic pages only; bold tests (≥10% lift)",IF(O189="Tier 3","Don't trial A/B — nurture or sell non-testing services","Trial only if tests are scored on CTA clicks / leads, not purchases"))))</f>
        <v/>
      </c>
    </row>
    <row r="190" customFormat="false" ht="15" hidden="false" customHeight="false" outlineLevel="0" collapsed="false">
      <c r="A190" s="13"/>
      <c r="B190" s="13"/>
      <c r="C190" s="14"/>
      <c r="D190" s="14"/>
      <c r="E190" s="15"/>
      <c r="F190" s="15"/>
      <c r="G190" s="14"/>
      <c r="H190" s="13"/>
      <c r="I190" s="16" t="str">
        <f aca="false">IF($C190&lt;&gt;"","Actual orders",IF($D190&lt;&gt;"","Est. from traffic",IF($E190&lt;&gt;"","Est. from revenue","")))</f>
        <v/>
      </c>
      <c r="J190" s="17" t="str">
        <f aca="false">IF($C190&lt;&gt;"",$C190,IF($D190&lt;&gt;"",$D190*IFERROR(INDEX(Assumptions!$C$31:$C$42,MATCH($B190,Assumptions!$B$31:$B$42,0)),Assumptions!$C$19),IF($E190&lt;&gt;"",$E190*1000000/12/IF($F190&lt;&gt;"",$F190,IFERROR(INDEX(Assumptions!$D$31:$D$42,MATCH($B190,Assumptions!$B$31:$B$42,0)),Assumptions!$C$20)),"")))</f>
        <v/>
      </c>
      <c r="K190" s="17" t="str">
        <f aca="false">IF($J190="","",$J190/Assumptions!$C$27)</f>
        <v/>
      </c>
      <c r="L190" s="18" t="str">
        <f aca="false">IF($K190="","",MAX(Assumptions!$C$9*Assumptions!$C$25/($K190*Assumptions!$C$10),0))</f>
        <v/>
      </c>
      <c r="M190" s="18" t="str">
        <f aca="false">IF($K190="","",MAX(Assumptions!$C$9*Assumptions!$C$26/($K190*Assumptions!$C$10),0))</f>
        <v/>
      </c>
      <c r="N190" s="19" t="str">
        <f aca="false">IF($K190="","",MIN(Assumptions!$C$14,52/MAX(Assumptions!$C$9*Assumptions!$C$25/($K190*Assumptions!$C$10),Assumptions!$C$13)))</f>
        <v/>
      </c>
      <c r="O190" s="20" t="str">
        <f aca="false">IF($K190="","",IF($K190&gt;=Assumptions!$C$16,"Tier 1",IF($K190&gt;=Assumptions!$C$17,"Tier 2",IF(AND($G190&lt;&gt;"",$G190&gt;=Assumptions!$C$17),"Tier 3 — micro-conversion tests only","Tier 3"))))</f>
        <v/>
      </c>
      <c r="P190" s="16" t="str">
        <f aca="false">IF(O190="","",IF(LEFT(O190,6)="Tier 1","Pursue — offer trial; 2-week tests on purchase metrics",IF(LEFT(O190,6)="Tier 2","Qualify — trial on top-traffic pages only; bold tests (≥10% lift)",IF(O190="Tier 3","Don't trial A/B — nurture or sell non-testing services","Trial only if tests are scored on CTA clicks / leads, not purchases"))))</f>
        <v/>
      </c>
    </row>
    <row r="191" customFormat="false" ht="15" hidden="false" customHeight="false" outlineLevel="0" collapsed="false">
      <c r="A191" s="13"/>
      <c r="B191" s="13"/>
      <c r="C191" s="14"/>
      <c r="D191" s="14"/>
      <c r="E191" s="15"/>
      <c r="F191" s="15"/>
      <c r="G191" s="14"/>
      <c r="H191" s="13"/>
      <c r="I191" s="16" t="str">
        <f aca="false">IF($C191&lt;&gt;"","Actual orders",IF($D191&lt;&gt;"","Est. from traffic",IF($E191&lt;&gt;"","Est. from revenue","")))</f>
        <v/>
      </c>
      <c r="J191" s="17" t="str">
        <f aca="false">IF($C191&lt;&gt;"",$C191,IF($D191&lt;&gt;"",$D191*IFERROR(INDEX(Assumptions!$C$31:$C$42,MATCH($B191,Assumptions!$B$31:$B$42,0)),Assumptions!$C$19),IF($E191&lt;&gt;"",$E191*1000000/12/IF($F191&lt;&gt;"",$F191,IFERROR(INDEX(Assumptions!$D$31:$D$42,MATCH($B191,Assumptions!$B$31:$B$42,0)),Assumptions!$C$20)),"")))</f>
        <v/>
      </c>
      <c r="K191" s="17" t="str">
        <f aca="false">IF($J191="","",$J191/Assumptions!$C$27)</f>
        <v/>
      </c>
      <c r="L191" s="18" t="str">
        <f aca="false">IF($K191="","",MAX(Assumptions!$C$9*Assumptions!$C$25/($K191*Assumptions!$C$10),0))</f>
        <v/>
      </c>
      <c r="M191" s="18" t="str">
        <f aca="false">IF($K191="","",MAX(Assumptions!$C$9*Assumptions!$C$26/($K191*Assumptions!$C$10),0))</f>
        <v/>
      </c>
      <c r="N191" s="19" t="str">
        <f aca="false">IF($K191="","",MIN(Assumptions!$C$14,52/MAX(Assumptions!$C$9*Assumptions!$C$25/($K191*Assumptions!$C$10),Assumptions!$C$13)))</f>
        <v/>
      </c>
      <c r="O191" s="20" t="str">
        <f aca="false">IF($K191="","",IF($K191&gt;=Assumptions!$C$16,"Tier 1",IF($K191&gt;=Assumptions!$C$17,"Tier 2",IF(AND($G191&lt;&gt;"",$G191&gt;=Assumptions!$C$17),"Tier 3 — micro-conversion tests only","Tier 3"))))</f>
        <v/>
      </c>
      <c r="P191" s="16" t="str">
        <f aca="false">IF(O191="","",IF(LEFT(O191,6)="Tier 1","Pursue — offer trial; 2-week tests on purchase metrics",IF(LEFT(O191,6)="Tier 2","Qualify — trial on top-traffic pages only; bold tests (≥10% lift)",IF(O191="Tier 3","Don't trial A/B — nurture or sell non-testing services","Trial only if tests are scored on CTA clicks / leads, not purchases"))))</f>
        <v/>
      </c>
    </row>
    <row r="192" customFormat="false" ht="15" hidden="false" customHeight="false" outlineLevel="0" collapsed="false">
      <c r="A192" s="13"/>
      <c r="B192" s="13"/>
      <c r="C192" s="14"/>
      <c r="D192" s="14"/>
      <c r="E192" s="15"/>
      <c r="F192" s="15"/>
      <c r="G192" s="14"/>
      <c r="H192" s="13"/>
      <c r="I192" s="16" t="str">
        <f aca="false">IF($C192&lt;&gt;"","Actual orders",IF($D192&lt;&gt;"","Est. from traffic",IF($E192&lt;&gt;"","Est. from revenue","")))</f>
        <v/>
      </c>
      <c r="J192" s="17" t="str">
        <f aca="false">IF($C192&lt;&gt;"",$C192,IF($D192&lt;&gt;"",$D192*IFERROR(INDEX(Assumptions!$C$31:$C$42,MATCH($B192,Assumptions!$B$31:$B$42,0)),Assumptions!$C$19),IF($E192&lt;&gt;"",$E192*1000000/12/IF($F192&lt;&gt;"",$F192,IFERROR(INDEX(Assumptions!$D$31:$D$42,MATCH($B192,Assumptions!$B$31:$B$42,0)),Assumptions!$C$20)),"")))</f>
        <v/>
      </c>
      <c r="K192" s="17" t="str">
        <f aca="false">IF($J192="","",$J192/Assumptions!$C$27)</f>
        <v/>
      </c>
      <c r="L192" s="18" t="str">
        <f aca="false">IF($K192="","",MAX(Assumptions!$C$9*Assumptions!$C$25/($K192*Assumptions!$C$10),0))</f>
        <v/>
      </c>
      <c r="M192" s="18" t="str">
        <f aca="false">IF($K192="","",MAX(Assumptions!$C$9*Assumptions!$C$26/($K192*Assumptions!$C$10),0))</f>
        <v/>
      </c>
      <c r="N192" s="19" t="str">
        <f aca="false">IF($K192="","",MIN(Assumptions!$C$14,52/MAX(Assumptions!$C$9*Assumptions!$C$25/($K192*Assumptions!$C$10),Assumptions!$C$13)))</f>
        <v/>
      </c>
      <c r="O192" s="20" t="str">
        <f aca="false">IF($K192="","",IF($K192&gt;=Assumptions!$C$16,"Tier 1",IF($K192&gt;=Assumptions!$C$17,"Tier 2",IF(AND($G192&lt;&gt;"",$G192&gt;=Assumptions!$C$17),"Tier 3 — micro-conversion tests only","Tier 3"))))</f>
        <v/>
      </c>
      <c r="P192" s="16" t="str">
        <f aca="false">IF(O192="","",IF(LEFT(O192,6)="Tier 1","Pursue — offer trial; 2-week tests on purchase metrics",IF(LEFT(O192,6)="Tier 2","Qualify — trial on top-traffic pages only; bold tests (≥10% lift)",IF(O192="Tier 3","Don't trial A/B — nurture or sell non-testing services","Trial only if tests are scored on CTA clicks / leads, not purchases"))))</f>
        <v/>
      </c>
    </row>
    <row r="193" customFormat="false" ht="15" hidden="false" customHeight="false" outlineLevel="0" collapsed="false">
      <c r="A193" s="13"/>
      <c r="B193" s="13"/>
      <c r="C193" s="14"/>
      <c r="D193" s="14"/>
      <c r="E193" s="15"/>
      <c r="F193" s="15"/>
      <c r="G193" s="14"/>
      <c r="H193" s="13"/>
      <c r="I193" s="16" t="str">
        <f aca="false">IF($C193&lt;&gt;"","Actual orders",IF($D193&lt;&gt;"","Est. from traffic",IF($E193&lt;&gt;"","Est. from revenue","")))</f>
        <v/>
      </c>
      <c r="J193" s="17" t="str">
        <f aca="false">IF($C193&lt;&gt;"",$C193,IF($D193&lt;&gt;"",$D193*IFERROR(INDEX(Assumptions!$C$31:$C$42,MATCH($B193,Assumptions!$B$31:$B$42,0)),Assumptions!$C$19),IF($E193&lt;&gt;"",$E193*1000000/12/IF($F193&lt;&gt;"",$F193,IFERROR(INDEX(Assumptions!$D$31:$D$42,MATCH($B193,Assumptions!$B$31:$B$42,0)),Assumptions!$C$20)),"")))</f>
        <v/>
      </c>
      <c r="K193" s="17" t="str">
        <f aca="false">IF($J193="","",$J193/Assumptions!$C$27)</f>
        <v/>
      </c>
      <c r="L193" s="18" t="str">
        <f aca="false">IF($K193="","",MAX(Assumptions!$C$9*Assumptions!$C$25/($K193*Assumptions!$C$10),0))</f>
        <v/>
      </c>
      <c r="M193" s="18" t="str">
        <f aca="false">IF($K193="","",MAX(Assumptions!$C$9*Assumptions!$C$26/($K193*Assumptions!$C$10),0))</f>
        <v/>
      </c>
      <c r="N193" s="19" t="str">
        <f aca="false">IF($K193="","",MIN(Assumptions!$C$14,52/MAX(Assumptions!$C$9*Assumptions!$C$25/($K193*Assumptions!$C$10),Assumptions!$C$13)))</f>
        <v/>
      </c>
      <c r="O193" s="20" t="str">
        <f aca="false">IF($K193="","",IF($K193&gt;=Assumptions!$C$16,"Tier 1",IF($K193&gt;=Assumptions!$C$17,"Tier 2",IF(AND($G193&lt;&gt;"",$G193&gt;=Assumptions!$C$17),"Tier 3 — micro-conversion tests only","Tier 3"))))</f>
        <v/>
      </c>
      <c r="P193" s="16" t="str">
        <f aca="false">IF(O193="","",IF(LEFT(O193,6)="Tier 1","Pursue — offer trial; 2-week tests on purchase metrics",IF(LEFT(O193,6)="Tier 2","Qualify — trial on top-traffic pages only; bold tests (≥10% lift)",IF(O193="Tier 3","Don't trial A/B — nurture or sell non-testing services","Trial only if tests are scored on CTA clicks / leads, not purchases"))))</f>
        <v/>
      </c>
    </row>
    <row r="194" customFormat="false" ht="15" hidden="false" customHeight="false" outlineLevel="0" collapsed="false">
      <c r="A194" s="13"/>
      <c r="B194" s="13"/>
      <c r="C194" s="14"/>
      <c r="D194" s="14"/>
      <c r="E194" s="15"/>
      <c r="F194" s="15"/>
      <c r="G194" s="14"/>
      <c r="H194" s="13"/>
      <c r="I194" s="16" t="str">
        <f aca="false">IF($C194&lt;&gt;"","Actual orders",IF($D194&lt;&gt;"","Est. from traffic",IF($E194&lt;&gt;"","Est. from revenue","")))</f>
        <v/>
      </c>
      <c r="J194" s="17" t="str">
        <f aca="false">IF($C194&lt;&gt;"",$C194,IF($D194&lt;&gt;"",$D194*IFERROR(INDEX(Assumptions!$C$31:$C$42,MATCH($B194,Assumptions!$B$31:$B$42,0)),Assumptions!$C$19),IF($E194&lt;&gt;"",$E194*1000000/12/IF($F194&lt;&gt;"",$F194,IFERROR(INDEX(Assumptions!$D$31:$D$42,MATCH($B194,Assumptions!$B$31:$B$42,0)),Assumptions!$C$20)),"")))</f>
        <v/>
      </c>
      <c r="K194" s="17" t="str">
        <f aca="false">IF($J194="","",$J194/Assumptions!$C$27)</f>
        <v/>
      </c>
      <c r="L194" s="18" t="str">
        <f aca="false">IF($K194="","",MAX(Assumptions!$C$9*Assumptions!$C$25/($K194*Assumptions!$C$10),0))</f>
        <v/>
      </c>
      <c r="M194" s="18" t="str">
        <f aca="false">IF($K194="","",MAX(Assumptions!$C$9*Assumptions!$C$26/($K194*Assumptions!$C$10),0))</f>
        <v/>
      </c>
      <c r="N194" s="19" t="str">
        <f aca="false">IF($K194="","",MIN(Assumptions!$C$14,52/MAX(Assumptions!$C$9*Assumptions!$C$25/($K194*Assumptions!$C$10),Assumptions!$C$13)))</f>
        <v/>
      </c>
      <c r="O194" s="20" t="str">
        <f aca="false">IF($K194="","",IF($K194&gt;=Assumptions!$C$16,"Tier 1",IF($K194&gt;=Assumptions!$C$17,"Tier 2",IF(AND($G194&lt;&gt;"",$G194&gt;=Assumptions!$C$17),"Tier 3 — micro-conversion tests only","Tier 3"))))</f>
        <v/>
      </c>
      <c r="P194" s="16" t="str">
        <f aca="false">IF(O194="","",IF(LEFT(O194,6)="Tier 1","Pursue — offer trial; 2-week tests on purchase metrics",IF(LEFT(O194,6)="Tier 2","Qualify — trial on top-traffic pages only; bold tests (≥10% lift)",IF(O194="Tier 3","Don't trial A/B — nurture or sell non-testing services","Trial only if tests are scored on CTA clicks / leads, not purchases"))))</f>
        <v/>
      </c>
    </row>
    <row r="195" customFormat="false" ht="15" hidden="false" customHeight="false" outlineLevel="0" collapsed="false">
      <c r="A195" s="13"/>
      <c r="B195" s="13"/>
      <c r="C195" s="14"/>
      <c r="D195" s="14"/>
      <c r="E195" s="15"/>
      <c r="F195" s="15"/>
      <c r="G195" s="14"/>
      <c r="H195" s="13"/>
      <c r="I195" s="16" t="str">
        <f aca="false">IF($C195&lt;&gt;"","Actual orders",IF($D195&lt;&gt;"","Est. from traffic",IF($E195&lt;&gt;"","Est. from revenue","")))</f>
        <v/>
      </c>
      <c r="J195" s="17" t="str">
        <f aca="false">IF($C195&lt;&gt;"",$C195,IF($D195&lt;&gt;"",$D195*IFERROR(INDEX(Assumptions!$C$31:$C$42,MATCH($B195,Assumptions!$B$31:$B$42,0)),Assumptions!$C$19),IF($E195&lt;&gt;"",$E195*1000000/12/IF($F195&lt;&gt;"",$F195,IFERROR(INDEX(Assumptions!$D$31:$D$42,MATCH($B195,Assumptions!$B$31:$B$42,0)),Assumptions!$C$20)),"")))</f>
        <v/>
      </c>
      <c r="K195" s="17" t="str">
        <f aca="false">IF($J195="","",$J195/Assumptions!$C$27)</f>
        <v/>
      </c>
      <c r="L195" s="18" t="str">
        <f aca="false">IF($K195="","",MAX(Assumptions!$C$9*Assumptions!$C$25/($K195*Assumptions!$C$10),0))</f>
        <v/>
      </c>
      <c r="M195" s="18" t="str">
        <f aca="false">IF($K195="","",MAX(Assumptions!$C$9*Assumptions!$C$26/($K195*Assumptions!$C$10),0))</f>
        <v/>
      </c>
      <c r="N195" s="19" t="str">
        <f aca="false">IF($K195="","",MIN(Assumptions!$C$14,52/MAX(Assumptions!$C$9*Assumptions!$C$25/($K195*Assumptions!$C$10),Assumptions!$C$13)))</f>
        <v/>
      </c>
      <c r="O195" s="20" t="str">
        <f aca="false">IF($K195="","",IF($K195&gt;=Assumptions!$C$16,"Tier 1",IF($K195&gt;=Assumptions!$C$17,"Tier 2",IF(AND($G195&lt;&gt;"",$G195&gt;=Assumptions!$C$17),"Tier 3 — micro-conversion tests only","Tier 3"))))</f>
        <v/>
      </c>
      <c r="P195" s="16" t="str">
        <f aca="false">IF(O195="","",IF(LEFT(O195,6)="Tier 1","Pursue — offer trial; 2-week tests on purchase metrics",IF(LEFT(O195,6)="Tier 2","Qualify — trial on top-traffic pages only; bold tests (≥10% lift)",IF(O195="Tier 3","Don't trial A/B — nurture or sell non-testing services","Trial only if tests are scored on CTA clicks / leads, not purchases"))))</f>
        <v/>
      </c>
    </row>
    <row r="196" customFormat="false" ht="15" hidden="false" customHeight="false" outlineLevel="0" collapsed="false">
      <c r="A196" s="13"/>
      <c r="B196" s="13"/>
      <c r="C196" s="14"/>
      <c r="D196" s="14"/>
      <c r="E196" s="15"/>
      <c r="F196" s="15"/>
      <c r="G196" s="14"/>
      <c r="H196" s="13"/>
      <c r="I196" s="16" t="str">
        <f aca="false">IF($C196&lt;&gt;"","Actual orders",IF($D196&lt;&gt;"","Est. from traffic",IF($E196&lt;&gt;"","Est. from revenue","")))</f>
        <v/>
      </c>
      <c r="J196" s="17" t="str">
        <f aca="false">IF($C196&lt;&gt;"",$C196,IF($D196&lt;&gt;"",$D196*IFERROR(INDEX(Assumptions!$C$31:$C$42,MATCH($B196,Assumptions!$B$31:$B$42,0)),Assumptions!$C$19),IF($E196&lt;&gt;"",$E196*1000000/12/IF($F196&lt;&gt;"",$F196,IFERROR(INDEX(Assumptions!$D$31:$D$42,MATCH($B196,Assumptions!$B$31:$B$42,0)),Assumptions!$C$20)),"")))</f>
        <v/>
      </c>
      <c r="K196" s="17" t="str">
        <f aca="false">IF($J196="","",$J196/Assumptions!$C$27)</f>
        <v/>
      </c>
      <c r="L196" s="18" t="str">
        <f aca="false">IF($K196="","",MAX(Assumptions!$C$9*Assumptions!$C$25/($K196*Assumptions!$C$10),0))</f>
        <v/>
      </c>
      <c r="M196" s="18" t="str">
        <f aca="false">IF($K196="","",MAX(Assumptions!$C$9*Assumptions!$C$26/($K196*Assumptions!$C$10),0))</f>
        <v/>
      </c>
      <c r="N196" s="19" t="str">
        <f aca="false">IF($K196="","",MIN(Assumptions!$C$14,52/MAX(Assumptions!$C$9*Assumptions!$C$25/($K196*Assumptions!$C$10),Assumptions!$C$13)))</f>
        <v/>
      </c>
      <c r="O196" s="20" t="str">
        <f aca="false">IF($K196="","",IF($K196&gt;=Assumptions!$C$16,"Tier 1",IF($K196&gt;=Assumptions!$C$17,"Tier 2",IF(AND($G196&lt;&gt;"",$G196&gt;=Assumptions!$C$17),"Tier 3 — micro-conversion tests only","Tier 3"))))</f>
        <v/>
      </c>
      <c r="P196" s="16" t="str">
        <f aca="false">IF(O196="","",IF(LEFT(O196,6)="Tier 1","Pursue — offer trial; 2-week tests on purchase metrics",IF(LEFT(O196,6)="Tier 2","Qualify — trial on top-traffic pages only; bold tests (≥10% lift)",IF(O196="Tier 3","Don't trial A/B — nurture or sell non-testing services","Trial only if tests are scored on CTA clicks / leads, not purchases"))))</f>
        <v/>
      </c>
    </row>
    <row r="197" customFormat="false" ht="15" hidden="false" customHeight="false" outlineLevel="0" collapsed="false">
      <c r="A197" s="13"/>
      <c r="B197" s="13"/>
      <c r="C197" s="14"/>
      <c r="D197" s="14"/>
      <c r="E197" s="15"/>
      <c r="F197" s="15"/>
      <c r="G197" s="14"/>
      <c r="H197" s="13"/>
      <c r="I197" s="16" t="str">
        <f aca="false">IF($C197&lt;&gt;"","Actual orders",IF($D197&lt;&gt;"","Est. from traffic",IF($E197&lt;&gt;"","Est. from revenue","")))</f>
        <v/>
      </c>
      <c r="J197" s="17" t="str">
        <f aca="false">IF($C197&lt;&gt;"",$C197,IF($D197&lt;&gt;"",$D197*IFERROR(INDEX(Assumptions!$C$31:$C$42,MATCH($B197,Assumptions!$B$31:$B$42,0)),Assumptions!$C$19),IF($E197&lt;&gt;"",$E197*1000000/12/IF($F197&lt;&gt;"",$F197,IFERROR(INDEX(Assumptions!$D$31:$D$42,MATCH($B197,Assumptions!$B$31:$B$42,0)),Assumptions!$C$20)),"")))</f>
        <v/>
      </c>
      <c r="K197" s="17" t="str">
        <f aca="false">IF($J197="","",$J197/Assumptions!$C$27)</f>
        <v/>
      </c>
      <c r="L197" s="18" t="str">
        <f aca="false">IF($K197="","",MAX(Assumptions!$C$9*Assumptions!$C$25/($K197*Assumptions!$C$10),0))</f>
        <v/>
      </c>
      <c r="M197" s="18" t="str">
        <f aca="false">IF($K197="","",MAX(Assumptions!$C$9*Assumptions!$C$26/($K197*Assumptions!$C$10),0))</f>
        <v/>
      </c>
      <c r="N197" s="19" t="str">
        <f aca="false">IF($K197="","",MIN(Assumptions!$C$14,52/MAX(Assumptions!$C$9*Assumptions!$C$25/($K197*Assumptions!$C$10),Assumptions!$C$13)))</f>
        <v/>
      </c>
      <c r="O197" s="20" t="str">
        <f aca="false">IF($K197="","",IF($K197&gt;=Assumptions!$C$16,"Tier 1",IF($K197&gt;=Assumptions!$C$17,"Tier 2",IF(AND($G197&lt;&gt;"",$G197&gt;=Assumptions!$C$17),"Tier 3 — micro-conversion tests only","Tier 3"))))</f>
        <v/>
      </c>
      <c r="P197" s="16" t="str">
        <f aca="false">IF(O197="","",IF(LEFT(O197,6)="Tier 1","Pursue — offer trial; 2-week tests on purchase metrics",IF(LEFT(O197,6)="Tier 2","Qualify — trial on top-traffic pages only; bold tests (≥10% lift)",IF(O197="Tier 3","Don't trial A/B — nurture or sell non-testing services","Trial only if tests are scored on CTA clicks / leads, not purchases"))))</f>
        <v/>
      </c>
    </row>
    <row r="198" customFormat="false" ht="15" hidden="false" customHeight="false" outlineLevel="0" collapsed="false">
      <c r="A198" s="13"/>
      <c r="B198" s="13"/>
      <c r="C198" s="14"/>
      <c r="D198" s="14"/>
      <c r="E198" s="15"/>
      <c r="F198" s="15"/>
      <c r="G198" s="14"/>
      <c r="H198" s="13"/>
      <c r="I198" s="16" t="str">
        <f aca="false">IF($C198&lt;&gt;"","Actual orders",IF($D198&lt;&gt;"","Est. from traffic",IF($E198&lt;&gt;"","Est. from revenue","")))</f>
        <v/>
      </c>
      <c r="J198" s="17" t="str">
        <f aca="false">IF($C198&lt;&gt;"",$C198,IF($D198&lt;&gt;"",$D198*IFERROR(INDEX(Assumptions!$C$31:$C$42,MATCH($B198,Assumptions!$B$31:$B$42,0)),Assumptions!$C$19),IF($E198&lt;&gt;"",$E198*1000000/12/IF($F198&lt;&gt;"",$F198,IFERROR(INDEX(Assumptions!$D$31:$D$42,MATCH($B198,Assumptions!$B$31:$B$42,0)),Assumptions!$C$20)),"")))</f>
        <v/>
      </c>
      <c r="K198" s="17" t="str">
        <f aca="false">IF($J198="","",$J198/Assumptions!$C$27)</f>
        <v/>
      </c>
      <c r="L198" s="18" t="str">
        <f aca="false">IF($K198="","",MAX(Assumptions!$C$9*Assumptions!$C$25/($K198*Assumptions!$C$10),0))</f>
        <v/>
      </c>
      <c r="M198" s="18" t="str">
        <f aca="false">IF($K198="","",MAX(Assumptions!$C$9*Assumptions!$C$26/($K198*Assumptions!$C$10),0))</f>
        <v/>
      </c>
      <c r="N198" s="19" t="str">
        <f aca="false">IF($K198="","",MIN(Assumptions!$C$14,52/MAX(Assumptions!$C$9*Assumptions!$C$25/($K198*Assumptions!$C$10),Assumptions!$C$13)))</f>
        <v/>
      </c>
      <c r="O198" s="20" t="str">
        <f aca="false">IF($K198="","",IF($K198&gt;=Assumptions!$C$16,"Tier 1",IF($K198&gt;=Assumptions!$C$17,"Tier 2",IF(AND($G198&lt;&gt;"",$G198&gt;=Assumptions!$C$17),"Tier 3 — micro-conversion tests only","Tier 3"))))</f>
        <v/>
      </c>
      <c r="P198" s="16" t="str">
        <f aca="false">IF(O198="","",IF(LEFT(O198,6)="Tier 1","Pursue — offer trial; 2-week tests on purchase metrics",IF(LEFT(O198,6)="Tier 2","Qualify — trial on top-traffic pages only; bold tests (≥10% lift)",IF(O198="Tier 3","Don't trial A/B — nurture or sell non-testing services","Trial only if tests are scored on CTA clicks / leads, not purchases"))))</f>
        <v/>
      </c>
    </row>
    <row r="199" customFormat="false" ht="15" hidden="false" customHeight="false" outlineLevel="0" collapsed="false">
      <c r="A199" s="13"/>
      <c r="B199" s="13"/>
      <c r="C199" s="14"/>
      <c r="D199" s="14"/>
      <c r="E199" s="15"/>
      <c r="F199" s="15"/>
      <c r="G199" s="14"/>
      <c r="H199" s="13"/>
      <c r="I199" s="16" t="str">
        <f aca="false">IF($C199&lt;&gt;"","Actual orders",IF($D199&lt;&gt;"","Est. from traffic",IF($E199&lt;&gt;"","Est. from revenue","")))</f>
        <v/>
      </c>
      <c r="J199" s="17" t="str">
        <f aca="false">IF($C199&lt;&gt;"",$C199,IF($D199&lt;&gt;"",$D199*IFERROR(INDEX(Assumptions!$C$31:$C$42,MATCH($B199,Assumptions!$B$31:$B$42,0)),Assumptions!$C$19),IF($E199&lt;&gt;"",$E199*1000000/12/IF($F199&lt;&gt;"",$F199,IFERROR(INDEX(Assumptions!$D$31:$D$42,MATCH($B199,Assumptions!$B$31:$B$42,0)),Assumptions!$C$20)),"")))</f>
        <v/>
      </c>
      <c r="K199" s="17" t="str">
        <f aca="false">IF($J199="","",$J199/Assumptions!$C$27)</f>
        <v/>
      </c>
      <c r="L199" s="18" t="str">
        <f aca="false">IF($K199="","",MAX(Assumptions!$C$9*Assumptions!$C$25/($K199*Assumptions!$C$10),0))</f>
        <v/>
      </c>
      <c r="M199" s="18" t="str">
        <f aca="false">IF($K199="","",MAX(Assumptions!$C$9*Assumptions!$C$26/($K199*Assumptions!$C$10),0))</f>
        <v/>
      </c>
      <c r="N199" s="19" t="str">
        <f aca="false">IF($K199="","",MIN(Assumptions!$C$14,52/MAX(Assumptions!$C$9*Assumptions!$C$25/($K199*Assumptions!$C$10),Assumptions!$C$13)))</f>
        <v/>
      </c>
      <c r="O199" s="20" t="str">
        <f aca="false">IF($K199="","",IF($K199&gt;=Assumptions!$C$16,"Tier 1",IF($K199&gt;=Assumptions!$C$17,"Tier 2",IF(AND($G199&lt;&gt;"",$G199&gt;=Assumptions!$C$17),"Tier 3 — micro-conversion tests only","Tier 3"))))</f>
        <v/>
      </c>
      <c r="P199" s="16" t="str">
        <f aca="false">IF(O199="","",IF(LEFT(O199,6)="Tier 1","Pursue — offer trial; 2-week tests on purchase metrics",IF(LEFT(O199,6)="Tier 2","Qualify — trial on top-traffic pages only; bold tests (≥10% lift)",IF(O199="Tier 3","Don't trial A/B — nurture or sell non-testing services","Trial only if tests are scored on CTA clicks / leads, not purchases"))))</f>
        <v/>
      </c>
    </row>
    <row r="200" customFormat="false" ht="15" hidden="false" customHeight="false" outlineLevel="0" collapsed="false">
      <c r="A200" s="13"/>
      <c r="B200" s="13"/>
      <c r="C200" s="14"/>
      <c r="D200" s="14"/>
      <c r="E200" s="15"/>
      <c r="F200" s="15"/>
      <c r="G200" s="14"/>
      <c r="H200" s="13"/>
      <c r="I200" s="16" t="str">
        <f aca="false">IF($C200&lt;&gt;"","Actual orders",IF($D200&lt;&gt;"","Est. from traffic",IF($E200&lt;&gt;"","Est. from revenue","")))</f>
        <v/>
      </c>
      <c r="J200" s="17" t="str">
        <f aca="false">IF($C200&lt;&gt;"",$C200,IF($D200&lt;&gt;"",$D200*IFERROR(INDEX(Assumptions!$C$31:$C$42,MATCH($B200,Assumptions!$B$31:$B$42,0)),Assumptions!$C$19),IF($E200&lt;&gt;"",$E200*1000000/12/IF($F200&lt;&gt;"",$F200,IFERROR(INDEX(Assumptions!$D$31:$D$42,MATCH($B200,Assumptions!$B$31:$B$42,0)),Assumptions!$C$20)),"")))</f>
        <v/>
      </c>
      <c r="K200" s="17" t="str">
        <f aca="false">IF($J200="","",$J200/Assumptions!$C$27)</f>
        <v/>
      </c>
      <c r="L200" s="18" t="str">
        <f aca="false">IF($K200="","",MAX(Assumptions!$C$9*Assumptions!$C$25/($K200*Assumptions!$C$10),0))</f>
        <v/>
      </c>
      <c r="M200" s="18" t="str">
        <f aca="false">IF($K200="","",MAX(Assumptions!$C$9*Assumptions!$C$26/($K200*Assumptions!$C$10),0))</f>
        <v/>
      </c>
      <c r="N200" s="19" t="str">
        <f aca="false">IF($K200="","",MIN(Assumptions!$C$14,52/MAX(Assumptions!$C$9*Assumptions!$C$25/($K200*Assumptions!$C$10),Assumptions!$C$13)))</f>
        <v/>
      </c>
      <c r="O200" s="20" t="str">
        <f aca="false">IF($K200="","",IF($K200&gt;=Assumptions!$C$16,"Tier 1",IF($K200&gt;=Assumptions!$C$17,"Tier 2",IF(AND($G200&lt;&gt;"",$G200&gt;=Assumptions!$C$17),"Tier 3 — micro-conversion tests only","Tier 3"))))</f>
        <v/>
      </c>
      <c r="P200" s="16" t="str">
        <f aca="false">IF(O200="","",IF(LEFT(O200,6)="Tier 1","Pursue — offer trial; 2-week tests on purchase metrics",IF(LEFT(O200,6)="Tier 2","Qualify — trial on top-traffic pages only; bold tests (≥10% lift)",IF(O200="Tier 3","Don't trial A/B — nurture or sell non-testing services","Trial only if tests are scored on CTA clicks / leads, not purchases"))))</f>
        <v/>
      </c>
    </row>
    <row r="201" customFormat="false" ht="15" hidden="false" customHeight="false" outlineLevel="0" collapsed="false">
      <c r="A201" s="13"/>
      <c r="B201" s="13"/>
      <c r="C201" s="14"/>
      <c r="D201" s="14"/>
      <c r="E201" s="15"/>
      <c r="F201" s="15"/>
      <c r="G201" s="14"/>
      <c r="H201" s="13"/>
      <c r="I201" s="16" t="str">
        <f aca="false">IF($C201&lt;&gt;"","Actual orders",IF($D201&lt;&gt;"","Est. from traffic",IF($E201&lt;&gt;"","Est. from revenue","")))</f>
        <v/>
      </c>
      <c r="J201" s="17" t="str">
        <f aca="false">IF($C201&lt;&gt;"",$C201,IF($D201&lt;&gt;"",$D201*IFERROR(INDEX(Assumptions!$C$31:$C$42,MATCH($B201,Assumptions!$B$31:$B$42,0)),Assumptions!$C$19),IF($E201&lt;&gt;"",$E201*1000000/12/IF($F201&lt;&gt;"",$F201,IFERROR(INDEX(Assumptions!$D$31:$D$42,MATCH($B201,Assumptions!$B$31:$B$42,0)),Assumptions!$C$20)),"")))</f>
        <v/>
      </c>
      <c r="K201" s="17" t="str">
        <f aca="false">IF($J201="","",$J201/Assumptions!$C$27)</f>
        <v/>
      </c>
      <c r="L201" s="18" t="str">
        <f aca="false">IF($K201="","",MAX(Assumptions!$C$9*Assumptions!$C$25/($K201*Assumptions!$C$10),0))</f>
        <v/>
      </c>
      <c r="M201" s="18" t="str">
        <f aca="false">IF($K201="","",MAX(Assumptions!$C$9*Assumptions!$C$26/($K201*Assumptions!$C$10),0))</f>
        <v/>
      </c>
      <c r="N201" s="19" t="str">
        <f aca="false">IF($K201="","",MIN(Assumptions!$C$14,52/MAX(Assumptions!$C$9*Assumptions!$C$25/($K201*Assumptions!$C$10),Assumptions!$C$13)))</f>
        <v/>
      </c>
      <c r="O201" s="20" t="str">
        <f aca="false">IF($K201="","",IF($K201&gt;=Assumptions!$C$16,"Tier 1",IF($K201&gt;=Assumptions!$C$17,"Tier 2",IF(AND($G201&lt;&gt;"",$G201&gt;=Assumptions!$C$17),"Tier 3 — micro-conversion tests only","Tier 3"))))</f>
        <v/>
      </c>
      <c r="P201" s="16" t="str">
        <f aca="false">IF(O201="","",IF(LEFT(O201,6)="Tier 1","Pursue — offer trial; 2-week tests on purchase metrics",IF(LEFT(O201,6)="Tier 2","Qualify — trial on top-traffic pages only; bold tests (≥10% lift)",IF(O201="Tier 3","Don't trial A/B — nurture or sell non-testing services","Trial only if tests are scored on CTA clicks / leads, not purchases"))))</f>
        <v/>
      </c>
    </row>
    <row r="202" customFormat="false" ht="15" hidden="false" customHeight="false" outlineLevel="0" collapsed="false">
      <c r="A202" s="13"/>
      <c r="B202" s="13"/>
      <c r="C202" s="14"/>
      <c r="D202" s="14"/>
      <c r="E202" s="15"/>
      <c r="F202" s="15"/>
      <c r="G202" s="14"/>
      <c r="H202" s="13"/>
      <c r="I202" s="16" t="str">
        <f aca="false">IF($C202&lt;&gt;"","Actual orders",IF($D202&lt;&gt;"","Est. from traffic",IF($E202&lt;&gt;"","Est. from revenue","")))</f>
        <v/>
      </c>
      <c r="J202" s="17" t="str">
        <f aca="false">IF($C202&lt;&gt;"",$C202,IF($D202&lt;&gt;"",$D202*IFERROR(INDEX(Assumptions!$C$31:$C$42,MATCH($B202,Assumptions!$B$31:$B$42,0)),Assumptions!$C$19),IF($E202&lt;&gt;"",$E202*1000000/12/IF($F202&lt;&gt;"",$F202,IFERROR(INDEX(Assumptions!$D$31:$D$42,MATCH($B202,Assumptions!$B$31:$B$42,0)),Assumptions!$C$20)),"")))</f>
        <v/>
      </c>
      <c r="K202" s="17" t="str">
        <f aca="false">IF($J202="","",$J202/Assumptions!$C$27)</f>
        <v/>
      </c>
      <c r="L202" s="18" t="str">
        <f aca="false">IF($K202="","",MAX(Assumptions!$C$9*Assumptions!$C$25/($K202*Assumptions!$C$10),0))</f>
        <v/>
      </c>
      <c r="M202" s="18" t="str">
        <f aca="false">IF($K202="","",MAX(Assumptions!$C$9*Assumptions!$C$26/($K202*Assumptions!$C$10),0))</f>
        <v/>
      </c>
      <c r="N202" s="19" t="str">
        <f aca="false">IF($K202="","",MIN(Assumptions!$C$14,52/MAX(Assumptions!$C$9*Assumptions!$C$25/($K202*Assumptions!$C$10),Assumptions!$C$13)))</f>
        <v/>
      </c>
      <c r="O202" s="20" t="str">
        <f aca="false">IF($K202="","",IF($K202&gt;=Assumptions!$C$16,"Tier 1",IF($K202&gt;=Assumptions!$C$17,"Tier 2",IF(AND($G202&lt;&gt;"",$G202&gt;=Assumptions!$C$17),"Tier 3 — micro-conversion tests only","Tier 3"))))</f>
        <v/>
      </c>
      <c r="P202" s="16" t="str">
        <f aca="false">IF(O202="","",IF(LEFT(O202,6)="Tier 1","Pursue — offer trial; 2-week tests on purchase metrics",IF(LEFT(O202,6)="Tier 2","Qualify — trial on top-traffic pages only; bold tests (≥10% lift)",IF(O202="Tier 3","Don't trial A/B — nurture or sell non-testing services","Trial only if tests are scored on CTA clicks / leads, not purchases"))))</f>
        <v/>
      </c>
    </row>
    <row r="203" customFormat="false" ht="15" hidden="false" customHeight="false" outlineLevel="0" collapsed="false">
      <c r="A203" s="13"/>
      <c r="B203" s="13"/>
      <c r="C203" s="14"/>
      <c r="D203" s="14"/>
      <c r="E203" s="15"/>
      <c r="F203" s="15"/>
      <c r="G203" s="14"/>
      <c r="H203" s="13"/>
      <c r="I203" s="16" t="str">
        <f aca="false">IF($C203&lt;&gt;"","Actual orders",IF($D203&lt;&gt;"","Est. from traffic",IF($E203&lt;&gt;"","Est. from revenue","")))</f>
        <v/>
      </c>
      <c r="J203" s="17" t="str">
        <f aca="false">IF($C203&lt;&gt;"",$C203,IF($D203&lt;&gt;"",$D203*IFERROR(INDEX(Assumptions!$C$31:$C$42,MATCH($B203,Assumptions!$B$31:$B$42,0)),Assumptions!$C$19),IF($E203&lt;&gt;"",$E203*1000000/12/IF($F203&lt;&gt;"",$F203,IFERROR(INDEX(Assumptions!$D$31:$D$42,MATCH($B203,Assumptions!$B$31:$B$42,0)),Assumptions!$C$20)),"")))</f>
        <v/>
      </c>
      <c r="K203" s="17" t="str">
        <f aca="false">IF($J203="","",$J203/Assumptions!$C$27)</f>
        <v/>
      </c>
      <c r="L203" s="18" t="str">
        <f aca="false">IF($K203="","",MAX(Assumptions!$C$9*Assumptions!$C$25/($K203*Assumptions!$C$10),0))</f>
        <v/>
      </c>
      <c r="M203" s="18" t="str">
        <f aca="false">IF($K203="","",MAX(Assumptions!$C$9*Assumptions!$C$26/($K203*Assumptions!$C$10),0))</f>
        <v/>
      </c>
      <c r="N203" s="19" t="str">
        <f aca="false">IF($K203="","",MIN(Assumptions!$C$14,52/MAX(Assumptions!$C$9*Assumptions!$C$25/($K203*Assumptions!$C$10),Assumptions!$C$13)))</f>
        <v/>
      </c>
      <c r="O203" s="20" t="str">
        <f aca="false">IF($K203="","",IF($K203&gt;=Assumptions!$C$16,"Tier 1",IF($K203&gt;=Assumptions!$C$17,"Tier 2",IF(AND($G203&lt;&gt;"",$G203&gt;=Assumptions!$C$17),"Tier 3 — micro-conversion tests only","Tier 3"))))</f>
        <v/>
      </c>
      <c r="P203" s="16" t="str">
        <f aca="false">IF(O203="","",IF(LEFT(O203,6)="Tier 1","Pursue — offer trial; 2-week tests on purchase metrics",IF(LEFT(O203,6)="Tier 2","Qualify — trial on top-traffic pages only; bold tests (≥10% lift)",IF(O203="Tier 3","Don't trial A/B — nurture or sell non-testing services","Trial only if tests are scored on CTA clicks / leads, not purchases"))))</f>
        <v/>
      </c>
    </row>
    <row r="204" customFormat="false" ht="15" hidden="false" customHeight="false" outlineLevel="0" collapsed="false">
      <c r="A204" s="13"/>
      <c r="B204" s="13"/>
      <c r="C204" s="14"/>
      <c r="D204" s="14"/>
      <c r="E204" s="15"/>
      <c r="F204" s="15"/>
      <c r="G204" s="14"/>
      <c r="H204" s="13"/>
      <c r="I204" s="16" t="str">
        <f aca="false">IF($C204&lt;&gt;"","Actual orders",IF($D204&lt;&gt;"","Est. from traffic",IF($E204&lt;&gt;"","Est. from revenue","")))</f>
        <v/>
      </c>
      <c r="J204" s="17" t="str">
        <f aca="false">IF($C204&lt;&gt;"",$C204,IF($D204&lt;&gt;"",$D204*IFERROR(INDEX(Assumptions!$C$31:$C$42,MATCH($B204,Assumptions!$B$31:$B$42,0)),Assumptions!$C$19),IF($E204&lt;&gt;"",$E204*1000000/12/IF($F204&lt;&gt;"",$F204,IFERROR(INDEX(Assumptions!$D$31:$D$42,MATCH($B204,Assumptions!$B$31:$B$42,0)),Assumptions!$C$20)),"")))</f>
        <v/>
      </c>
      <c r="K204" s="17" t="str">
        <f aca="false">IF($J204="","",$J204/Assumptions!$C$27)</f>
        <v/>
      </c>
      <c r="L204" s="18" t="str">
        <f aca="false">IF($K204="","",MAX(Assumptions!$C$9*Assumptions!$C$25/($K204*Assumptions!$C$10),0))</f>
        <v/>
      </c>
      <c r="M204" s="18" t="str">
        <f aca="false">IF($K204="","",MAX(Assumptions!$C$9*Assumptions!$C$26/($K204*Assumptions!$C$10),0))</f>
        <v/>
      </c>
      <c r="N204" s="19" t="str">
        <f aca="false">IF($K204="","",MIN(Assumptions!$C$14,52/MAX(Assumptions!$C$9*Assumptions!$C$25/($K204*Assumptions!$C$10),Assumptions!$C$13)))</f>
        <v/>
      </c>
      <c r="O204" s="20" t="str">
        <f aca="false">IF($K204="","",IF($K204&gt;=Assumptions!$C$16,"Tier 1",IF($K204&gt;=Assumptions!$C$17,"Tier 2",IF(AND($G204&lt;&gt;"",$G204&gt;=Assumptions!$C$17),"Tier 3 — micro-conversion tests only","Tier 3"))))</f>
        <v/>
      </c>
      <c r="P204" s="16" t="str">
        <f aca="false">IF(O204="","",IF(LEFT(O204,6)="Tier 1","Pursue — offer trial; 2-week tests on purchase metrics",IF(LEFT(O204,6)="Tier 2","Qualify — trial on top-traffic pages only; bold tests (≥10% lift)",IF(O204="Tier 3","Don't trial A/B — nurture or sell non-testing services","Trial only if tests are scored on CTA clicks / leads, not purchases"))))</f>
        <v/>
      </c>
    </row>
  </sheetData>
  <autoFilter ref="A4:P204"/>
  <conditionalFormatting sqref="O5:O204">
    <cfRule type="expression" priority="2" aboveAverage="0" equalAverage="0" bottom="0" percent="0" rank="0" text="" dxfId="10">
      <formula>LEFT($O5,6)="Tier 1"</formula>
    </cfRule>
    <cfRule type="expression" priority="3" aboveAverage="0" equalAverage="0" bottom="0" percent="0" rank="0" text="" dxfId="11">
      <formula>LEFT($O5,6)="Tier 2"</formula>
    </cfRule>
    <cfRule type="expression" priority="4" aboveAverage="0" equalAverage="0" bottom="0" percent="0" rank="0" text="" dxfId="12">
      <formula>LEFT($O5,6)="Tier 3"</formula>
    </cfRule>
  </conditionalFormatting>
  <conditionalFormatting sqref="L5:M204">
    <cfRule type="expression" priority="5" aboveAverage="0" equalAverage="0" bottom="0" percent="0" rank="0" text="" dxfId="13">
      <formula>AND(L5&lt;&gt;"",L5&gt;8)</formula>
    </cfRule>
  </conditionalFormatting>
  <dataValidations count="1">
    <dataValidation allowBlank="true" errorStyle="stop" operator="between" showDropDown="false" showErrorMessage="false" showInputMessage="false" sqref="B5:B204" type="list">
      <formula1>Assumptions!$B$31:$B$42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4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A4" s="3" t="s">
        <v>76</v>
      </c>
    </row>
    <row r="5" customFormat="false" ht="39.75" hidden="false" customHeight="true" outlineLevel="0" collapsed="false">
      <c r="A5" s="11" t="s">
        <v>44</v>
      </c>
      <c r="B5" s="11" t="s">
        <v>45</v>
      </c>
      <c r="C5" s="11" t="s">
        <v>77</v>
      </c>
      <c r="D5" s="11" t="s">
        <v>78</v>
      </c>
      <c r="E5" s="11" t="s">
        <v>79</v>
      </c>
      <c r="F5" s="11" t="s">
        <v>80</v>
      </c>
      <c r="G5" s="11" t="s">
        <v>81</v>
      </c>
      <c r="H5" s="11" t="s">
        <v>82</v>
      </c>
      <c r="I5" s="11" t="s">
        <v>52</v>
      </c>
      <c r="J5" s="11" t="s">
        <v>53</v>
      </c>
      <c r="K5" s="11" t="s">
        <v>54</v>
      </c>
      <c r="L5" s="11" t="s">
        <v>83</v>
      </c>
      <c r="M5" s="11" t="s">
        <v>84</v>
      </c>
      <c r="N5" s="11" t="s">
        <v>85</v>
      </c>
      <c r="O5" s="11" t="s">
        <v>58</v>
      </c>
    </row>
    <row r="6" customFormat="false" ht="30" hidden="false" customHeight="true" outlineLevel="0" collapsed="false">
      <c r="A6" s="13" t="s">
        <v>86</v>
      </c>
      <c r="B6" s="13" t="s">
        <v>67</v>
      </c>
      <c r="C6" s="14" t="n">
        <v>79959</v>
      </c>
      <c r="D6" s="14" t="n">
        <v>2599064</v>
      </c>
      <c r="E6" s="24"/>
      <c r="F6" s="15" t="n">
        <v>151</v>
      </c>
      <c r="G6" s="17"/>
      <c r="H6" s="25" t="s">
        <v>87</v>
      </c>
      <c r="I6" s="16" t="str">
        <f aca="false">IF($C6&lt;&gt;"","Actual orders",IF($D6&lt;&gt;"","Est. from traffic",IF($E6&lt;&gt;"","Est. from revenue","")))</f>
        <v>Actual orders</v>
      </c>
      <c r="J6" s="17" t="n">
        <f aca="false">IF($C6&lt;&gt;"",$C6,IF($D6&lt;&gt;"",$D6*IFERROR(INDEX(Assumptions!$C$31:$C$42,MATCH($B6,Assumptions!$B$31:$B$42,0)),Assumptions!$C$19),IF($E6&lt;&gt;"",$E6*1000000/12/IF($F6&lt;&gt;"",$F6,IFERROR(INDEX(Assumptions!$D$31:$D$42,MATCH($B6,Assumptions!$B$31:$B$42,0)),Assumptions!$C$20)),"")))</f>
        <v>79959</v>
      </c>
      <c r="K6" s="17" t="n">
        <f aca="false">IF($J6="","",$J6/Assumptions!$C$27)</f>
        <v>18452.0769230769</v>
      </c>
      <c r="L6" s="18" t="n">
        <f aca="false">IF($K6="","",MAX(Assumptions!$C$9*Assumptions!$C$25/($K6*Assumptions!$C$10),0))</f>
        <v>0.357307147826144</v>
      </c>
      <c r="M6" s="18" t="n">
        <f aca="false">IF($K6="","",MAX(Assumptions!$C$9*Assumptions!$C$26/($K6*Assumptions!$C$10),0))</f>
        <v>1.39519933913066</v>
      </c>
      <c r="N6" s="19" t="n">
        <f aca="false">IF($K6="","",MIN(Assumptions!$C$14,52/MAX(Assumptions!$C$9*Assumptions!$C$25/($K6*Assumptions!$C$10),Assumptions!$C$13)))</f>
        <v>26</v>
      </c>
      <c r="O6" s="20" t="str">
        <f aca="false">IF($K6="","",IF($K6&gt;=Assumptions!$C$16,"Tier 1",IF($K6&gt;=Assumptions!$C$17,"Tier 2",IF(AND($G6&lt;&gt;"",$G6&gt;=Assumptions!$C$17),"Tier 3 — micro-conversion tests only","Tier 3"))))</f>
        <v>Tier 1</v>
      </c>
    </row>
    <row r="7" customFormat="false" ht="30" hidden="false" customHeight="true" outlineLevel="0" collapsed="false">
      <c r="A7" s="13" t="s">
        <v>88</v>
      </c>
      <c r="B7" s="13" t="s">
        <v>67</v>
      </c>
      <c r="C7" s="14" t="n">
        <v>22282</v>
      </c>
      <c r="D7" s="14" t="n">
        <v>568242.71</v>
      </c>
      <c r="E7" s="24"/>
      <c r="F7" s="15" t="n">
        <v>278</v>
      </c>
      <c r="G7" s="17"/>
      <c r="H7" s="25" t="s">
        <v>89</v>
      </c>
      <c r="I7" s="16" t="str">
        <f aca="false">IF($C7&lt;&gt;"","Actual orders",IF($D7&lt;&gt;"","Est. from traffic",IF($E7&lt;&gt;"","Est. from revenue","")))</f>
        <v>Actual orders</v>
      </c>
      <c r="J7" s="17" t="n">
        <f aca="false">IF($C7&lt;&gt;"",$C7,IF($D7&lt;&gt;"",$D7*IFERROR(INDEX(Assumptions!$C$31:$C$42,MATCH($B7,Assumptions!$B$31:$B$42,0)),Assumptions!$C$19),IF($E7&lt;&gt;"",$E7*1000000/12/IF($F7&lt;&gt;"",$F7,IFERROR(INDEX(Assumptions!$D$31:$D$42,MATCH($B7,Assumptions!$B$31:$B$42,0)),Assumptions!$C$20)),"")))</f>
        <v>22282</v>
      </c>
      <c r="K7" s="17" t="n">
        <f aca="false">IF($J7="","",$J7/Assumptions!$C$27)</f>
        <v>5142</v>
      </c>
      <c r="L7" s="18" t="n">
        <f aca="false">IF($K7="","",MAX(Assumptions!$C$9*Assumptions!$C$25/($K7*Assumptions!$C$10),0))</f>
        <v>1.2821973895086</v>
      </c>
      <c r="M7" s="18" t="n">
        <f aca="false">IF($K7="","",MAX(Assumptions!$C$9*Assumptions!$C$26/($K7*Assumptions!$C$10),0))</f>
        <v>5.00667552093835</v>
      </c>
      <c r="N7" s="19" t="n">
        <f aca="false">IF($K7="","",MIN(Assumptions!$C$14,52/MAX(Assumptions!$C$9*Assumptions!$C$25/($K7*Assumptions!$C$10),Assumptions!$C$13)))</f>
        <v>26</v>
      </c>
      <c r="O7" s="20" t="str">
        <f aca="false">IF($K7="","",IF($K7&gt;=Assumptions!$C$16,"Tier 1",IF($K7&gt;=Assumptions!$C$17,"Tier 2",IF(AND($G7&lt;&gt;"",$G7&gt;=Assumptions!$C$17),"Tier 3 — micro-conversion tests only","Tier 3"))))</f>
        <v>Tier 1</v>
      </c>
    </row>
    <row r="8" customFormat="false" ht="30" hidden="false" customHeight="true" outlineLevel="0" collapsed="false">
      <c r="A8" s="13" t="s">
        <v>90</v>
      </c>
      <c r="B8" s="13" t="s">
        <v>71</v>
      </c>
      <c r="C8" s="14" t="n">
        <v>1200</v>
      </c>
      <c r="D8" s="14" t="n">
        <v>884307</v>
      </c>
      <c r="E8" s="24"/>
      <c r="F8" s="24"/>
      <c r="G8" s="17"/>
      <c r="H8" s="25" t="s">
        <v>91</v>
      </c>
      <c r="I8" s="16" t="str">
        <f aca="false">IF($C8&lt;&gt;"","Actual orders",IF($D8&lt;&gt;"","Est. from traffic",IF($E8&lt;&gt;"","Est. from revenue","")))</f>
        <v>Actual orders</v>
      </c>
      <c r="J8" s="17" t="n">
        <f aca="false">IF($C8&lt;&gt;"",$C8,IF($D8&lt;&gt;"",$D8*IFERROR(INDEX(Assumptions!$C$31:$C$42,MATCH($B8,Assumptions!$B$31:$B$42,0)),Assumptions!$C$19),IF($E8&lt;&gt;"",$E8*1000000/12/IF($F8&lt;&gt;"",$F8,IFERROR(INDEX(Assumptions!$D$31:$D$42,MATCH($B8,Assumptions!$B$31:$B$42,0)),Assumptions!$C$20)),"")))</f>
        <v>1200</v>
      </c>
      <c r="K8" s="17" t="n">
        <f aca="false">IF($J8="","",$J8/Assumptions!$C$27)</f>
        <v>276.923076923077</v>
      </c>
      <c r="L8" s="18" t="n">
        <f aca="false">IF($K8="","",MAX(Assumptions!$C$9*Assumptions!$C$25/($K8*Assumptions!$C$10),0))</f>
        <v>23.8082685275256</v>
      </c>
      <c r="M8" s="18" t="n">
        <f aca="false">IF($K8="","",MAX(Assumptions!$C$9*Assumptions!$C$26/($K8*Assumptions!$C$10),0))</f>
        <v>92.9656199646236</v>
      </c>
      <c r="N8" s="19" t="n">
        <f aca="false">IF($K8="","",MIN(Assumptions!$C$14,52/MAX(Assumptions!$C$9*Assumptions!$C$25/($K8*Assumptions!$C$10),Assumptions!$C$13)))</f>
        <v>2.18411515057809</v>
      </c>
      <c r="O8" s="20" t="str">
        <f aca="false">IF($K8="","",IF($K8&gt;=Assumptions!$C$16,"Tier 1",IF($K8&gt;=Assumptions!$C$17,"Tier 2",IF(AND($G8&lt;&gt;"",$G8&gt;=Assumptions!$C$17),"Tier 3 — micro-conversion tests only","Tier 3"))))</f>
        <v>Tier 3</v>
      </c>
    </row>
    <row r="9" customFormat="false" ht="30" hidden="false" customHeight="true" outlineLevel="0" collapsed="false">
      <c r="A9" s="13" t="s">
        <v>92</v>
      </c>
      <c r="B9" s="13" t="s">
        <v>63</v>
      </c>
      <c r="C9" s="14" t="n">
        <v>52</v>
      </c>
      <c r="D9" s="14" t="n">
        <v>319812</v>
      </c>
      <c r="E9" s="24"/>
      <c r="F9" s="15" t="n">
        <v>7488</v>
      </c>
      <c r="G9" s="17"/>
      <c r="H9" s="25" t="s">
        <v>93</v>
      </c>
      <c r="I9" s="16" t="str">
        <f aca="false">IF($C9&lt;&gt;"","Actual orders",IF($D9&lt;&gt;"","Est. from traffic",IF($E9&lt;&gt;"","Est. from revenue","")))</f>
        <v>Actual orders</v>
      </c>
      <c r="J9" s="17" t="n">
        <f aca="false">IF($C9&lt;&gt;"",$C9,IF($D9&lt;&gt;"",$D9*IFERROR(INDEX(Assumptions!$C$31:$C$42,MATCH($B9,Assumptions!$B$31:$B$42,0)),Assumptions!$C$19),IF($E9&lt;&gt;"",$E9*1000000/12/IF($F9&lt;&gt;"",$F9,IFERROR(INDEX(Assumptions!$D$31:$D$42,MATCH($B9,Assumptions!$B$31:$B$42,0)),Assumptions!$C$20)),"")))</f>
        <v>52</v>
      </c>
      <c r="K9" s="17" t="n">
        <f aca="false">IF($J9="","",$J9/Assumptions!$C$27)</f>
        <v>12</v>
      </c>
      <c r="L9" s="18" t="n">
        <f aca="false">IF($K9="","",MAX(Assumptions!$C$9*Assumptions!$C$25/($K9*Assumptions!$C$10),0))</f>
        <v>549.421581404436</v>
      </c>
      <c r="M9" s="18" t="n">
        <f aca="false">IF($K9="","",MAX(Assumptions!$C$9*Assumptions!$C$26/($K9*Assumptions!$C$10),0))</f>
        <v>2145.36046072208</v>
      </c>
      <c r="N9" s="19" t="n">
        <f aca="false">IF($K9="","",MIN(Assumptions!$C$14,52/MAX(Assumptions!$C$9*Assumptions!$C$25/($K9*Assumptions!$C$10),Assumptions!$C$13)))</f>
        <v>0.0946449898583837</v>
      </c>
      <c r="O9" s="20" t="str">
        <f aca="false">IF($K9="","",IF($K9&gt;=Assumptions!$C$16,"Tier 1",IF($K9&gt;=Assumptions!$C$17,"Tier 2",IF(AND($G9&lt;&gt;"",$G9&gt;=Assumptions!$C$17),"Tier 3 — micro-conversion tests only","Tier 3"))))</f>
        <v>Tier 3</v>
      </c>
    </row>
    <row r="11" customFormat="false" ht="15" hidden="false" customHeight="false" outlineLevel="0" collapsed="false">
      <c r="A11" s="3" t="s">
        <v>94</v>
      </c>
    </row>
    <row r="12" customFormat="false" ht="39.75" hidden="false" customHeight="true" outlineLevel="0" collapsed="false">
      <c r="A12" s="11" t="s">
        <v>44</v>
      </c>
      <c r="B12" s="11" t="s">
        <v>45</v>
      </c>
      <c r="C12" s="11" t="s">
        <v>77</v>
      </c>
      <c r="D12" s="11" t="s">
        <v>78</v>
      </c>
      <c r="E12" s="11" t="s">
        <v>79</v>
      </c>
      <c r="F12" s="11" t="s">
        <v>80</v>
      </c>
      <c r="G12" s="11" t="s">
        <v>81</v>
      </c>
      <c r="H12" s="11" t="s">
        <v>82</v>
      </c>
      <c r="I12" s="11" t="s">
        <v>52</v>
      </c>
      <c r="J12" s="11" t="s">
        <v>53</v>
      </c>
      <c r="K12" s="11" t="s">
        <v>54</v>
      </c>
      <c r="L12" s="11" t="s">
        <v>83</v>
      </c>
      <c r="M12" s="11" t="s">
        <v>84</v>
      </c>
      <c r="N12" s="11" t="s">
        <v>85</v>
      </c>
      <c r="O12" s="11" t="s">
        <v>58</v>
      </c>
    </row>
    <row r="13" customFormat="false" ht="30" hidden="false" customHeight="true" outlineLevel="0" collapsed="false">
      <c r="A13" s="13" t="s">
        <v>95</v>
      </c>
      <c r="B13" s="13" t="s">
        <v>96</v>
      </c>
      <c r="C13" s="17"/>
      <c r="D13" s="14" t="n">
        <v>24300000</v>
      </c>
      <c r="E13" s="15" t="n">
        <v>1474</v>
      </c>
      <c r="F13" s="24"/>
      <c r="G13" s="17"/>
      <c r="H13" s="25" t="s">
        <v>97</v>
      </c>
      <c r="I13" s="16" t="str">
        <f aca="false">IF($C13&lt;&gt;"","Actual orders",IF($D13&lt;&gt;"","Est. from traffic",IF($E13&lt;&gt;"","Est. from revenue","")))</f>
        <v>Est. from traffic</v>
      </c>
      <c r="J13" s="17" t="n">
        <f aca="false">IF($C13&lt;&gt;"",$C13,IF($D13&lt;&gt;"",$D13*IFERROR(INDEX(Assumptions!$C$31:$C$42,MATCH($B13,Assumptions!$B$31:$B$42,0)),Assumptions!$C$19),IF($E13&lt;&gt;"",$E13*1000000/12/IF($F13&lt;&gt;"",$F13,IFERROR(INDEX(Assumptions!$D$31:$D$42,MATCH($B13,Assumptions!$B$31:$B$42,0)),Assumptions!$C$20)),"")))</f>
        <v>850500</v>
      </c>
      <c r="K13" s="17" t="n">
        <f aca="false">IF($J13="","",$J13/Assumptions!$C$27)</f>
        <v>196269.230769231</v>
      </c>
      <c r="L13" s="18" t="n">
        <f aca="false">IF($K13="","",MAX(Assumptions!$C$9*Assumptions!$C$25/($K13*Assumptions!$C$10),0))</f>
        <v>0.03359191326635</v>
      </c>
      <c r="M13" s="18" t="n">
        <f aca="false">IF($K13="","",MAX(Assumptions!$C$9*Assumptions!$C$26/($K13*Assumptions!$C$10),0))</f>
        <v>0.131168423230509</v>
      </c>
      <c r="N13" s="19" t="n">
        <f aca="false">IF($K13="","",MIN(Assumptions!$C$14,52/MAX(Assumptions!$C$9*Assumptions!$C$25/($K13*Assumptions!$C$10),Assumptions!$C$13)))</f>
        <v>26</v>
      </c>
      <c r="O13" s="20" t="str">
        <f aca="false">IF($K13="","",IF($K13&gt;=Assumptions!$C$16,"Tier 1",IF($K13&gt;=Assumptions!$C$17,"Tier 2",IF(AND($G13&lt;&gt;"",$G13&gt;=Assumptions!$C$17),"Tier 3 — micro-conversion tests only","Tier 3"))))</f>
        <v>Tier 1</v>
      </c>
    </row>
    <row r="14" customFormat="false" ht="30" hidden="false" customHeight="true" outlineLevel="0" collapsed="false">
      <c r="A14" s="13" t="s">
        <v>98</v>
      </c>
      <c r="B14" s="13" t="s">
        <v>67</v>
      </c>
      <c r="C14" s="17"/>
      <c r="D14" s="17"/>
      <c r="E14" s="15" t="n">
        <v>1130</v>
      </c>
      <c r="F14" s="15" t="n">
        <v>302</v>
      </c>
      <c r="G14" s="17"/>
      <c r="H14" s="25" t="s">
        <v>99</v>
      </c>
      <c r="I14" s="16" t="str">
        <f aca="false">IF($C14&lt;&gt;"","Actual orders",IF($D14&lt;&gt;"","Est. from traffic",IF($E14&lt;&gt;"","Est. from revenue","")))</f>
        <v>Est. from revenue</v>
      </c>
      <c r="J14" s="17" t="n">
        <f aca="false">IF($C14&lt;&gt;"",$C14,IF($D14&lt;&gt;"",$D14*IFERROR(INDEX(Assumptions!$C$31:$C$42,MATCH($B14,Assumptions!$B$31:$B$42,0)),Assumptions!$C$19),IF($E14&lt;&gt;"",$E14*1000000/12/IF($F14&lt;&gt;"",$F14,IFERROR(INDEX(Assumptions!$D$31:$D$42,MATCH($B14,Assumptions!$B$31:$B$42,0)),Assumptions!$C$20)),"")))</f>
        <v>311810.154525386</v>
      </c>
      <c r="K14" s="17" t="n">
        <f aca="false">IF($J14="","",$J14/Assumptions!$C$27)</f>
        <v>71956.1895058584</v>
      </c>
      <c r="L14" s="18" t="n">
        <f aca="false">IF($K14="","",MAX(Assumptions!$C$9*Assumptions!$C$25/($K14*Assumptions!$C$10),0))</f>
        <v>0.0916260160818612</v>
      </c>
      <c r="M14" s="18" t="n">
        <f aca="false">IF($K14="","",MAX(Assumptions!$C$9*Assumptions!$C$26/($K14*Assumptions!$C$10),0))</f>
        <v>0.357777777081553</v>
      </c>
      <c r="N14" s="19" t="n">
        <f aca="false">IF($K14="","",MIN(Assumptions!$C$14,52/MAX(Assumptions!$C$9*Assumptions!$C$25/($K14*Assumptions!$C$10),Assumptions!$C$13)))</f>
        <v>26</v>
      </c>
      <c r="O14" s="20" t="str">
        <f aca="false">IF($K14="","",IF($K14&gt;=Assumptions!$C$16,"Tier 1",IF($K14&gt;=Assumptions!$C$17,"Tier 2",IF(AND($G14&lt;&gt;"",$G14&gt;=Assumptions!$C$17),"Tier 3 — micro-conversion tests only","Tier 3"))))</f>
        <v>Tier 1</v>
      </c>
    </row>
    <row r="15" customFormat="false" ht="30" hidden="false" customHeight="true" outlineLevel="0" collapsed="false">
      <c r="A15" s="13" t="s">
        <v>100</v>
      </c>
      <c r="B15" s="13" t="s">
        <v>101</v>
      </c>
      <c r="C15" s="17"/>
      <c r="D15" s="14" t="n">
        <v>18500000</v>
      </c>
      <c r="E15" s="15" t="n">
        <v>619</v>
      </c>
      <c r="F15" s="24"/>
      <c r="G15" s="17"/>
      <c r="H15" s="25" t="s">
        <v>102</v>
      </c>
      <c r="I15" s="16" t="str">
        <f aca="false">IF($C15&lt;&gt;"","Actual orders",IF($D15&lt;&gt;"","Est. from traffic",IF($E15&lt;&gt;"","Est. from revenue","")))</f>
        <v>Est. from traffic</v>
      </c>
      <c r="J15" s="17" t="n">
        <f aca="false">IF($C15&lt;&gt;"",$C15,IF($D15&lt;&gt;"",$D15*IFERROR(INDEX(Assumptions!$C$31:$C$42,MATCH($B15,Assumptions!$B$31:$B$42,0)),Assumptions!$C$19),IF($E15&lt;&gt;"",$E15*1000000/12/IF($F15&lt;&gt;"",$F15,IFERROR(INDEX(Assumptions!$D$31:$D$42,MATCH($B15,Assumptions!$B$31:$B$42,0)),Assumptions!$C$20)),"")))</f>
        <v>351500</v>
      </c>
      <c r="K15" s="17" t="n">
        <f aca="false">IF($J15="","",$J15/Assumptions!$C$27)</f>
        <v>81115.3846153846</v>
      </c>
      <c r="L15" s="18" t="n">
        <f aca="false">IF($K15="","",MAX(Assumptions!$C$9*Assumptions!$C$25/($K15*Assumptions!$C$10),0))</f>
        <v>0.0812800063528611</v>
      </c>
      <c r="M15" s="18" t="n">
        <f aca="false">IF($K15="","",MAX(Assumptions!$C$9*Assumptions!$C$26/($K15*Assumptions!$C$10),0))</f>
        <v>0.317379072425458</v>
      </c>
      <c r="N15" s="19" t="n">
        <f aca="false">IF($K15="","",MIN(Assumptions!$C$14,52/MAX(Assumptions!$C$9*Assumptions!$C$25/($K15*Assumptions!$C$10),Assumptions!$C$13)))</f>
        <v>26</v>
      </c>
      <c r="O15" s="20" t="str">
        <f aca="false">IF($K15="","",IF($K15&gt;=Assumptions!$C$16,"Tier 1",IF($K15&gt;=Assumptions!$C$17,"Tier 2",IF(AND($G15&lt;&gt;"",$G15&gt;=Assumptions!$C$17),"Tier 3 — micro-conversion tests only","Tier 3"))))</f>
        <v>Tier 1</v>
      </c>
    </row>
    <row r="16" customFormat="false" ht="30" hidden="false" customHeight="true" outlineLevel="0" collapsed="false">
      <c r="A16" s="13" t="s">
        <v>103</v>
      </c>
      <c r="B16" s="13" t="s">
        <v>104</v>
      </c>
      <c r="C16" s="17"/>
      <c r="D16" s="14" t="n">
        <v>16450000</v>
      </c>
      <c r="E16" s="15" t="n">
        <v>1240</v>
      </c>
      <c r="F16" s="24"/>
      <c r="G16" s="17"/>
      <c r="H16" s="25" t="s">
        <v>105</v>
      </c>
      <c r="I16" s="16" t="str">
        <f aca="false">IF($C16&lt;&gt;"","Actual orders",IF($D16&lt;&gt;"","Est. from traffic",IF($E16&lt;&gt;"","Est. from revenue","")))</f>
        <v>Est. from traffic</v>
      </c>
      <c r="J16" s="17" t="n">
        <f aca="false">IF($C16&lt;&gt;"",$C16,IF($D16&lt;&gt;"",$D16*IFERROR(INDEX(Assumptions!$C$31:$C$42,MATCH($B16,Assumptions!$B$31:$B$42,0)),Assumptions!$C$19),IF($E16&lt;&gt;"",$E16*1000000/12/IF($F16&lt;&gt;"",$F16,IFERROR(INDEX(Assumptions!$D$31:$D$42,MATCH($B16,Assumptions!$B$31:$B$42,0)),Assumptions!$C$20)),"")))</f>
        <v>246750</v>
      </c>
      <c r="K16" s="17" t="n">
        <f aca="false">IF($J16="","",$J16/Assumptions!$C$27)</f>
        <v>56942.3076923077</v>
      </c>
      <c r="L16" s="18" t="n">
        <f aca="false">IF($K16="","",MAX(Assumptions!$C$9*Assumptions!$C$25/($K16*Assumptions!$C$10),0))</f>
        <v>0.115784892535079</v>
      </c>
      <c r="M16" s="18" t="n">
        <f aca="false">IF($K16="","",MAX(Assumptions!$C$9*Assumptions!$C$26/($K16*Assumptions!$C$10),0))</f>
        <v>0.452112437517926</v>
      </c>
      <c r="N16" s="19" t="n">
        <f aca="false">IF($K16="","",MIN(Assumptions!$C$14,52/MAX(Assumptions!$C$9*Assumptions!$C$25/($K16*Assumptions!$C$10),Assumptions!$C$13)))</f>
        <v>26</v>
      </c>
      <c r="O16" s="20" t="str">
        <f aca="false">IF($K16="","",IF($K16&gt;=Assumptions!$C$16,"Tier 1",IF($K16&gt;=Assumptions!$C$17,"Tier 2",IF(AND($G16&lt;&gt;"",$G16&gt;=Assumptions!$C$17),"Tier 3 — micro-conversion tests only","Tier 3"))))</f>
        <v>Tier 1</v>
      </c>
    </row>
    <row r="17" customFormat="false" ht="30" hidden="false" customHeight="true" outlineLevel="0" collapsed="false">
      <c r="A17" s="13" t="s">
        <v>106</v>
      </c>
      <c r="B17" s="13" t="s">
        <v>67</v>
      </c>
      <c r="C17" s="17"/>
      <c r="D17" s="14" t="n">
        <v>12120000</v>
      </c>
      <c r="E17" s="15" t="n">
        <v>311</v>
      </c>
      <c r="F17" s="24"/>
      <c r="G17" s="17"/>
      <c r="H17" s="25" t="s">
        <v>107</v>
      </c>
      <c r="I17" s="16" t="str">
        <f aca="false">IF($C17&lt;&gt;"","Actual orders",IF($D17&lt;&gt;"","Est. from traffic",IF($E17&lt;&gt;"","Est. from revenue","")))</f>
        <v>Est. from traffic</v>
      </c>
      <c r="J17" s="17" t="n">
        <f aca="false">IF($C17&lt;&gt;"",$C17,IF($D17&lt;&gt;"",$D17*IFERROR(INDEX(Assumptions!$C$31:$C$42,MATCH($B17,Assumptions!$B$31:$B$42,0)),Assumptions!$C$19),IF($E17&lt;&gt;"",$E17*1000000/12/IF($F17&lt;&gt;"",$F17,IFERROR(INDEX(Assumptions!$D$31:$D$42,MATCH($B17,Assumptions!$B$31:$B$42,0)),Assumptions!$C$20)),"")))</f>
        <v>242400</v>
      </c>
      <c r="K17" s="17" t="n">
        <f aca="false">IF($J17="","",$J17/Assumptions!$C$27)</f>
        <v>55938.4615384615</v>
      </c>
      <c r="L17" s="18" t="n">
        <f aca="false">IF($K17="","",MAX(Assumptions!$C$9*Assumptions!$C$25/($K17*Assumptions!$C$10),0))</f>
        <v>0.1178627154828</v>
      </c>
      <c r="M17" s="18" t="n">
        <f aca="false">IF($K17="","",MAX(Assumptions!$C$9*Assumptions!$C$26/($K17*Assumptions!$C$10),0))</f>
        <v>0.460225841409028</v>
      </c>
      <c r="N17" s="19" t="n">
        <f aca="false">IF($K17="","",MIN(Assumptions!$C$14,52/MAX(Assumptions!$C$9*Assumptions!$C$25/($K17*Assumptions!$C$10),Assumptions!$C$13)))</f>
        <v>26</v>
      </c>
      <c r="O17" s="20" t="str">
        <f aca="false">IF($K17="","",IF($K17&gt;=Assumptions!$C$16,"Tier 1",IF($K17&gt;=Assumptions!$C$17,"Tier 2",IF(AND($G17&lt;&gt;"",$G17&gt;=Assumptions!$C$17),"Tier 3 — micro-conversion tests only","Tier 3"))))</f>
        <v>Tier 1</v>
      </c>
    </row>
    <row r="18" customFormat="false" ht="30" hidden="false" customHeight="true" outlineLevel="0" collapsed="false">
      <c r="A18" s="13" t="s">
        <v>108</v>
      </c>
      <c r="B18" s="13" t="s">
        <v>67</v>
      </c>
      <c r="C18" s="17"/>
      <c r="D18" s="14" t="n">
        <v>11300000</v>
      </c>
      <c r="E18" s="15" t="n">
        <v>843</v>
      </c>
      <c r="F18" s="24"/>
      <c r="G18" s="17"/>
      <c r="H18" s="25" t="s">
        <v>109</v>
      </c>
      <c r="I18" s="16" t="str">
        <f aca="false">IF($C18&lt;&gt;"","Actual orders",IF($D18&lt;&gt;"","Est. from traffic",IF($E18&lt;&gt;"","Est. from revenue","")))</f>
        <v>Est. from traffic</v>
      </c>
      <c r="J18" s="17" t="n">
        <f aca="false">IF($C18&lt;&gt;"",$C18,IF($D18&lt;&gt;"",$D18*IFERROR(INDEX(Assumptions!$C$31:$C$42,MATCH($B18,Assumptions!$B$31:$B$42,0)),Assumptions!$C$19),IF($E18&lt;&gt;"",$E18*1000000/12/IF($F18&lt;&gt;"",$F18,IFERROR(INDEX(Assumptions!$D$31:$D$42,MATCH($B18,Assumptions!$B$31:$B$42,0)),Assumptions!$C$20)),"")))</f>
        <v>226000</v>
      </c>
      <c r="K18" s="17" t="n">
        <f aca="false">IF($J18="","",$J18/Assumptions!$C$27)</f>
        <v>52153.8461538462</v>
      </c>
      <c r="L18" s="18" t="n">
        <f aca="false">IF($K18="","",MAX(Assumptions!$C$9*Assumptions!$C$25/($K18*Assumptions!$C$10),0))</f>
        <v>0.126415585101906</v>
      </c>
      <c r="M18" s="18" t="n">
        <f aca="false">IF($K18="","",MAX(Assumptions!$C$9*Assumptions!$C$26/($K18*Assumptions!$C$10),0))</f>
        <v>0.493622760874108</v>
      </c>
      <c r="N18" s="19" t="n">
        <f aca="false">IF($K18="","",MIN(Assumptions!$C$14,52/MAX(Assumptions!$C$9*Assumptions!$C$25/($K18*Assumptions!$C$10),Assumptions!$C$13)))</f>
        <v>26</v>
      </c>
      <c r="O18" s="20" t="str">
        <f aca="false">IF($K18="","",IF($K18&gt;=Assumptions!$C$16,"Tier 1",IF($K18&gt;=Assumptions!$C$17,"Tier 2",IF(AND($G18&lt;&gt;"",$G18&gt;=Assumptions!$C$17),"Tier 3 — micro-conversion tests only","Tier 3"))))</f>
        <v>Tier 1</v>
      </c>
    </row>
    <row r="19" customFormat="false" ht="30" hidden="false" customHeight="true" outlineLevel="0" collapsed="false">
      <c r="A19" s="13" t="s">
        <v>110</v>
      </c>
      <c r="B19" s="13" t="s">
        <v>71</v>
      </c>
      <c r="C19" s="17"/>
      <c r="D19" s="17"/>
      <c r="E19" s="15" t="n">
        <v>1400</v>
      </c>
      <c r="F19" s="15" t="n">
        <v>181</v>
      </c>
      <c r="G19" s="17"/>
      <c r="H19" s="25" t="s">
        <v>111</v>
      </c>
      <c r="I19" s="16" t="str">
        <f aca="false">IF($C19&lt;&gt;"","Actual orders",IF($D19&lt;&gt;"","Est. from traffic",IF($E19&lt;&gt;"","Est. from revenue","")))</f>
        <v>Est. from revenue</v>
      </c>
      <c r="J19" s="17" t="n">
        <f aca="false">IF($C19&lt;&gt;"",$C19,IF($D19&lt;&gt;"",$D19*IFERROR(INDEX(Assumptions!$C$31:$C$42,MATCH($B19,Assumptions!$B$31:$B$42,0)),Assumptions!$C$19),IF($E19&lt;&gt;"",$E19*1000000/12/IF($F19&lt;&gt;"",$F19,IFERROR(INDEX(Assumptions!$D$31:$D$42,MATCH($B19,Assumptions!$B$31:$B$42,0)),Assumptions!$C$20)),"")))</f>
        <v>644567.219152855</v>
      </c>
      <c r="K19" s="17" t="n">
        <f aca="false">IF($J19="","",$J19/Assumptions!$C$27)</f>
        <v>148746.281342966</v>
      </c>
      <c r="L19" s="18" t="n">
        <f aca="false">IF($K19="","",MAX(Assumptions!$C$9*Assumptions!$C$25/($K19*Assumptions!$C$10),0))</f>
        <v>0.0443241936358162</v>
      </c>
      <c r="M19" s="18" t="n">
        <f aca="false">IF($K19="","",MAX(Assumptions!$C$9*Assumptions!$C$26/($K19*Assumptions!$C$10),0))</f>
        <v>0.173075422768425</v>
      </c>
      <c r="N19" s="19" t="n">
        <f aca="false">IF($K19="","",MIN(Assumptions!$C$14,52/MAX(Assumptions!$C$9*Assumptions!$C$25/($K19*Assumptions!$C$10),Assumptions!$C$13)))</f>
        <v>26</v>
      </c>
      <c r="O19" s="20" t="str">
        <f aca="false">IF($K19="","",IF($K19&gt;=Assumptions!$C$16,"Tier 1",IF($K19&gt;=Assumptions!$C$17,"Tier 2",IF(AND($G19&lt;&gt;"",$G19&gt;=Assumptions!$C$17),"Tier 3 — micro-conversion tests only","Tier 3"))))</f>
        <v>Tier 1</v>
      </c>
    </row>
    <row r="20" customFormat="false" ht="30" hidden="false" customHeight="true" outlineLevel="0" collapsed="false">
      <c r="A20" s="13" t="s">
        <v>112</v>
      </c>
      <c r="B20" s="13" t="s">
        <v>67</v>
      </c>
      <c r="C20" s="17"/>
      <c r="D20" s="14" t="n">
        <v>10600000</v>
      </c>
      <c r="E20" s="15" t="n">
        <v>673</v>
      </c>
      <c r="F20" s="24"/>
      <c r="G20" s="17"/>
      <c r="H20" s="25" t="s">
        <v>113</v>
      </c>
      <c r="I20" s="16" t="str">
        <f aca="false">IF($C20&lt;&gt;"","Actual orders",IF($D20&lt;&gt;"","Est. from traffic",IF($E20&lt;&gt;"","Est. from revenue","")))</f>
        <v>Est. from traffic</v>
      </c>
      <c r="J20" s="17" t="n">
        <f aca="false">IF($C20&lt;&gt;"",$C20,IF($D20&lt;&gt;"",$D20*IFERROR(INDEX(Assumptions!$C$31:$C$42,MATCH($B20,Assumptions!$B$31:$B$42,0)),Assumptions!$C$19),IF($E20&lt;&gt;"",$E20*1000000/12/IF($F20&lt;&gt;"",$F20,IFERROR(INDEX(Assumptions!$D$31:$D$42,MATCH($B20,Assumptions!$B$31:$B$42,0)),Assumptions!$C$20)),"")))</f>
        <v>212000</v>
      </c>
      <c r="K20" s="17" t="n">
        <f aca="false">IF($J20="","",$J20/Assumptions!$C$27)</f>
        <v>48923.0769230769</v>
      </c>
      <c r="L20" s="18" t="n">
        <f aca="false">IF($K20="","",MAX(Assumptions!$C$9*Assumptions!$C$25/($K20*Assumptions!$C$10),0))</f>
        <v>0.134763784118069</v>
      </c>
      <c r="M20" s="18" t="n">
        <f aca="false">IF($K20="","",MAX(Assumptions!$C$9*Assumptions!$C$26/($K20*Assumptions!$C$10),0))</f>
        <v>0.526220490365794</v>
      </c>
      <c r="N20" s="19" t="n">
        <f aca="false">IF($K20="","",MIN(Assumptions!$C$14,52/MAX(Assumptions!$C$9*Assumptions!$C$25/($K20*Assumptions!$C$10),Assumptions!$C$13)))</f>
        <v>26</v>
      </c>
      <c r="O20" s="20" t="str">
        <f aca="false">IF($K20="","",IF($K20&gt;=Assumptions!$C$16,"Tier 1",IF($K20&gt;=Assumptions!$C$17,"Tier 2",IF(AND($G20&lt;&gt;"",$G20&gt;=Assumptions!$C$17),"Tier 3 — micro-conversion tests only","Tier 3"))))</f>
        <v>Tier 1</v>
      </c>
    </row>
    <row r="21" customFormat="false" ht="30" hidden="false" customHeight="true" outlineLevel="0" collapsed="false">
      <c r="A21" s="13" t="s">
        <v>114</v>
      </c>
      <c r="B21" s="13" t="s">
        <v>115</v>
      </c>
      <c r="C21" s="17"/>
      <c r="D21" s="14" t="n">
        <v>8400000</v>
      </c>
      <c r="E21" s="15" t="n">
        <v>548</v>
      </c>
      <c r="F21" s="24"/>
      <c r="G21" s="17"/>
      <c r="H21" s="25" t="s">
        <v>116</v>
      </c>
      <c r="I21" s="16" t="str">
        <f aca="false">IF($C21&lt;&gt;"","Actual orders",IF($D21&lt;&gt;"","Est. from traffic",IF($E21&lt;&gt;"","Est. from revenue","")))</f>
        <v>Est. from traffic</v>
      </c>
      <c r="J21" s="17" t="n">
        <f aca="false">IF($C21&lt;&gt;"",$C21,IF($D21&lt;&gt;"",$D21*IFERROR(INDEX(Assumptions!$C$31:$C$42,MATCH($B21,Assumptions!$B$31:$B$42,0)),Assumptions!$C$19),IF($E21&lt;&gt;"",$E21*1000000/12/IF($F21&lt;&gt;"",$F21,IFERROR(INDEX(Assumptions!$D$31:$D$42,MATCH($B21,Assumptions!$B$31:$B$42,0)),Assumptions!$C$20)),"")))</f>
        <v>168000</v>
      </c>
      <c r="K21" s="17" t="n">
        <f aca="false">IF($J21="","",$J21/Assumptions!$C$27)</f>
        <v>38769.2307692308</v>
      </c>
      <c r="L21" s="18" t="n">
        <f aca="false">IF($K21="","",MAX(Assumptions!$C$9*Assumptions!$C$25/($K21*Assumptions!$C$10),0))</f>
        <v>0.170059060910897</v>
      </c>
      <c r="M21" s="18" t="n">
        <f aca="false">IF($K21="","",MAX(Assumptions!$C$9*Assumptions!$C$26/($K21*Assumptions!$C$10),0))</f>
        <v>0.664040142604454</v>
      </c>
      <c r="N21" s="19" t="n">
        <f aca="false">IF($K21="","",MIN(Assumptions!$C$14,52/MAX(Assumptions!$C$9*Assumptions!$C$25/($K21*Assumptions!$C$10),Assumptions!$C$13)))</f>
        <v>26</v>
      </c>
      <c r="O21" s="20" t="str">
        <f aca="false">IF($K21="","",IF($K21&gt;=Assumptions!$C$16,"Tier 1",IF($K21&gt;=Assumptions!$C$17,"Tier 2",IF(AND($G21&lt;&gt;"",$G21&gt;=Assumptions!$C$17),"Tier 3 — micro-conversion tests only","Tier 3"))))</f>
        <v>Tier 1</v>
      </c>
    </row>
    <row r="22" customFormat="false" ht="30" hidden="false" customHeight="true" outlineLevel="0" collapsed="false">
      <c r="A22" s="13" t="s">
        <v>117</v>
      </c>
      <c r="B22" s="13" t="s">
        <v>63</v>
      </c>
      <c r="C22" s="17"/>
      <c r="D22" s="17"/>
      <c r="E22" s="15" t="n">
        <v>438</v>
      </c>
      <c r="F22" s="15" t="n">
        <v>2082</v>
      </c>
      <c r="G22" s="17"/>
      <c r="H22" s="25" t="s">
        <v>118</v>
      </c>
      <c r="I22" s="16" t="str">
        <f aca="false">IF($C22&lt;&gt;"","Actual orders",IF($D22&lt;&gt;"","Est. from traffic",IF($E22&lt;&gt;"","Est. from revenue","")))</f>
        <v>Est. from revenue</v>
      </c>
      <c r="J22" s="17" t="n">
        <f aca="false">IF($C22&lt;&gt;"",$C22,IF($D22&lt;&gt;"",$D22*IFERROR(INDEX(Assumptions!$C$31:$C$42,MATCH($B22,Assumptions!$B$31:$B$42,0)),Assumptions!$C$19),IF($E22&lt;&gt;"",$E22*1000000/12/IF($F22&lt;&gt;"",$F22,IFERROR(INDEX(Assumptions!$D$31:$D$42,MATCH($B22,Assumptions!$B$31:$B$42,0)),Assumptions!$C$20)),"")))</f>
        <v>17531.2199807877</v>
      </c>
      <c r="K22" s="17" t="n">
        <f aca="false">IF($J22="","",$J22/Assumptions!$C$27)</f>
        <v>4045.66614941255</v>
      </c>
      <c r="L22" s="18" t="n">
        <f aca="false">IF($K22="","",MAX(Assumptions!$C$9*Assumptions!$C$25/($K22*Assumptions!$C$10),0))</f>
        <v>1.62965967367589</v>
      </c>
      <c r="M22" s="18" t="n">
        <f aca="false">IF($K22="","",MAX(Assumptions!$C$9*Assumptions!$C$26/($K22*Assumptions!$C$10),0))</f>
        <v>6.36343301149632</v>
      </c>
      <c r="N22" s="19" t="n">
        <f aca="false">IF($K22="","",MIN(Assumptions!$C$14,52/MAX(Assumptions!$C$9*Assumptions!$C$25/($K22*Assumptions!$C$10),Assumptions!$C$13)))</f>
        <v>26</v>
      </c>
      <c r="O22" s="20" t="str">
        <f aca="false">IF($K22="","",IF($K22&gt;=Assumptions!$C$16,"Tier 1",IF($K22&gt;=Assumptions!$C$17,"Tier 2",IF(AND($G22&lt;&gt;"",$G22&gt;=Assumptions!$C$17),"Tier 3 — micro-conversion tests only","Tier 3"))))</f>
        <v>Tier 2</v>
      </c>
    </row>
    <row r="23" customFormat="false" ht="30" hidden="false" customHeight="true" outlineLevel="0" collapsed="false">
      <c r="A23" s="13" t="s">
        <v>119</v>
      </c>
      <c r="B23" s="13" t="s">
        <v>67</v>
      </c>
      <c r="C23" s="17"/>
      <c r="D23" s="14" t="n">
        <v>5200000</v>
      </c>
      <c r="E23" s="15" t="n">
        <v>1270</v>
      </c>
      <c r="F23" s="24"/>
      <c r="G23" s="17"/>
      <c r="H23" s="25" t="s">
        <v>120</v>
      </c>
      <c r="I23" s="16" t="str">
        <f aca="false">IF($C23&lt;&gt;"","Actual orders",IF($D23&lt;&gt;"","Est. from traffic",IF($E23&lt;&gt;"","Est. from revenue","")))</f>
        <v>Est. from traffic</v>
      </c>
      <c r="J23" s="17" t="n">
        <f aca="false">IF($C23&lt;&gt;"",$C23,IF($D23&lt;&gt;"",$D23*IFERROR(INDEX(Assumptions!$C$31:$C$42,MATCH($B23,Assumptions!$B$31:$B$42,0)),Assumptions!$C$19),IF($E23&lt;&gt;"",$E23*1000000/12/IF($F23&lt;&gt;"",$F23,IFERROR(INDEX(Assumptions!$D$31:$D$42,MATCH($B23,Assumptions!$B$31:$B$42,0)),Assumptions!$C$20)),"")))</f>
        <v>104000</v>
      </c>
      <c r="K23" s="17" t="n">
        <f aca="false">IF($J23="","",$J23/Assumptions!$C$27)</f>
        <v>24000</v>
      </c>
      <c r="L23" s="18" t="n">
        <f aca="false">IF($K23="","",MAX(Assumptions!$C$9*Assumptions!$C$25/($K23*Assumptions!$C$10),0))</f>
        <v>0.274710790702218</v>
      </c>
      <c r="M23" s="18" t="n">
        <f aca="false">IF($K23="","",MAX(Assumptions!$C$9*Assumptions!$C$26/($K23*Assumptions!$C$10),0))</f>
        <v>1.07268023036104</v>
      </c>
      <c r="N23" s="19" t="n">
        <f aca="false">IF($K23="","",MIN(Assumptions!$C$14,52/MAX(Assumptions!$C$9*Assumptions!$C$25/($K23*Assumptions!$C$10),Assumptions!$C$13)))</f>
        <v>26</v>
      </c>
      <c r="O23" s="20" t="str">
        <f aca="false">IF($K23="","",IF($K23&gt;=Assumptions!$C$16,"Tier 1",IF($K23&gt;=Assumptions!$C$17,"Tier 2",IF(AND($G23&lt;&gt;"",$G23&gt;=Assumptions!$C$17),"Tier 3 — micro-conversion tests only","Tier 3"))))</f>
        <v>Tier 1</v>
      </c>
    </row>
    <row r="24" customFormat="false" ht="30" hidden="false" customHeight="true" outlineLevel="0" collapsed="false">
      <c r="A24" s="13" t="s">
        <v>121</v>
      </c>
      <c r="B24" s="13" t="s">
        <v>67</v>
      </c>
      <c r="C24" s="17"/>
      <c r="D24" s="17"/>
      <c r="E24" s="15" t="n">
        <v>556</v>
      </c>
      <c r="F24" s="15" t="n">
        <v>113</v>
      </c>
      <c r="G24" s="17"/>
      <c r="H24" s="25" t="s">
        <v>122</v>
      </c>
      <c r="I24" s="16" t="str">
        <f aca="false">IF($C24&lt;&gt;"","Actual orders",IF($D24&lt;&gt;"","Est. from traffic",IF($E24&lt;&gt;"","Est. from revenue","")))</f>
        <v>Est. from revenue</v>
      </c>
      <c r="J24" s="17" t="n">
        <f aca="false">IF($C24&lt;&gt;"",$C24,IF($D24&lt;&gt;"",$D24*IFERROR(INDEX(Assumptions!$C$31:$C$42,MATCH($B24,Assumptions!$B$31:$B$42,0)),Assumptions!$C$19),IF($E24&lt;&gt;"",$E24*1000000/12/IF($F24&lt;&gt;"",$F24,IFERROR(INDEX(Assumptions!$D$31:$D$42,MATCH($B24,Assumptions!$B$31:$B$42,0)),Assumptions!$C$20)),"")))</f>
        <v>410029.498525074</v>
      </c>
      <c r="K24" s="17" t="n">
        <f aca="false">IF($J24="","",$J24/Assumptions!$C$27)</f>
        <v>94622.1919673247</v>
      </c>
      <c r="L24" s="18" t="n">
        <f aca="false">IF($K24="","",MAX(Assumptions!$C$9*Assumptions!$C$25/($K24*Assumptions!$C$10),0))</f>
        <v>0.0696777240071755</v>
      </c>
      <c r="M24" s="18" t="n">
        <f aca="false">IF($K24="","",MAX(Assumptions!$C$9*Assumptions!$C$26/($K24*Assumptions!$C$10),0))</f>
        <v>0.272074922313733</v>
      </c>
      <c r="N24" s="19" t="n">
        <f aca="false">IF($K24="","",MIN(Assumptions!$C$14,52/MAX(Assumptions!$C$9*Assumptions!$C$25/($K24*Assumptions!$C$10),Assumptions!$C$13)))</f>
        <v>26</v>
      </c>
      <c r="O24" s="20" t="str">
        <f aca="false">IF($K24="","",IF($K24&gt;=Assumptions!$C$16,"Tier 1",IF($K24&gt;=Assumptions!$C$17,"Tier 2",IF(AND($G24&lt;&gt;"",$G24&gt;=Assumptions!$C$17),"Tier 3 — micro-conversion tests only","Tier 3"))))</f>
        <v>Tier 1</v>
      </c>
    </row>
    <row r="25" customFormat="false" ht="30" hidden="false" customHeight="true" outlineLevel="0" collapsed="false">
      <c r="A25" s="13" t="s">
        <v>123</v>
      </c>
      <c r="B25" s="13" t="s">
        <v>67</v>
      </c>
      <c r="C25" s="17"/>
      <c r="D25" s="17"/>
      <c r="E25" s="15" t="n">
        <v>282</v>
      </c>
      <c r="F25" s="15" t="n">
        <v>140</v>
      </c>
      <c r="G25" s="17"/>
      <c r="H25" s="25" t="s">
        <v>124</v>
      </c>
      <c r="I25" s="16" t="str">
        <f aca="false">IF($C25&lt;&gt;"","Actual orders",IF($D25&lt;&gt;"","Est. from traffic",IF($E25&lt;&gt;"","Est. from revenue","")))</f>
        <v>Est. from revenue</v>
      </c>
      <c r="J25" s="17" t="n">
        <f aca="false">IF($C25&lt;&gt;"",$C25,IF($D25&lt;&gt;"",$D25*IFERROR(INDEX(Assumptions!$C$31:$C$42,MATCH($B25,Assumptions!$B$31:$B$42,0)),Assumptions!$C$19),IF($E25&lt;&gt;"",$E25*1000000/12/IF($F25&lt;&gt;"",$F25,IFERROR(INDEX(Assumptions!$D$31:$D$42,MATCH($B25,Assumptions!$B$31:$B$42,0)),Assumptions!$C$20)),"")))</f>
        <v>167857.142857143</v>
      </c>
      <c r="K25" s="17" t="n">
        <f aca="false">IF($J25="","",$J25/Assumptions!$C$27)</f>
        <v>38736.2637362637</v>
      </c>
      <c r="L25" s="18" t="n">
        <f aca="false">IF($K25="","",MAX(Assumptions!$C$9*Assumptions!$C$25/($K25*Assumptions!$C$10),0))</f>
        <v>0.170203792026566</v>
      </c>
      <c r="M25" s="18" t="n">
        <f aca="false">IF($K25="","",MAX(Assumptions!$C$9*Assumptions!$C$26/($K25*Assumptions!$C$10),0))</f>
        <v>0.664605283151352</v>
      </c>
      <c r="N25" s="19" t="n">
        <f aca="false">IF($K25="","",MIN(Assumptions!$C$14,52/MAX(Assumptions!$C$9*Assumptions!$C$25/($K25*Assumptions!$C$10),Assumptions!$C$13)))</f>
        <v>26</v>
      </c>
      <c r="O25" s="20" t="str">
        <f aca="false">IF($K25="","",IF($K25&gt;=Assumptions!$C$16,"Tier 1",IF($K25&gt;=Assumptions!$C$17,"Tier 2",IF(AND($G25&lt;&gt;"",$G25&gt;=Assumptions!$C$17),"Tier 3 — micro-conversion tests only","Tier 3"))))</f>
        <v>Tier 1</v>
      </c>
    </row>
    <row r="26" customFormat="false" ht="30" hidden="false" customHeight="true" outlineLevel="0" collapsed="false">
      <c r="A26" s="13" t="s">
        <v>125</v>
      </c>
      <c r="B26" s="13" t="s">
        <v>67</v>
      </c>
      <c r="C26" s="17"/>
      <c r="D26" s="14" t="n">
        <v>4500000</v>
      </c>
      <c r="E26" s="15" t="n">
        <v>353</v>
      </c>
      <c r="F26" s="24"/>
      <c r="G26" s="17"/>
      <c r="H26" s="25" t="s">
        <v>126</v>
      </c>
      <c r="I26" s="16" t="str">
        <f aca="false">IF($C26&lt;&gt;"","Actual orders",IF($D26&lt;&gt;"","Est. from traffic",IF($E26&lt;&gt;"","Est. from revenue","")))</f>
        <v>Est. from traffic</v>
      </c>
      <c r="J26" s="17" t="n">
        <f aca="false">IF($C26&lt;&gt;"",$C26,IF($D26&lt;&gt;"",$D26*IFERROR(INDEX(Assumptions!$C$31:$C$42,MATCH($B26,Assumptions!$B$31:$B$42,0)),Assumptions!$C$19),IF($E26&lt;&gt;"",$E26*1000000/12/IF($F26&lt;&gt;"",$F26,IFERROR(INDEX(Assumptions!$D$31:$D$42,MATCH($B26,Assumptions!$B$31:$B$42,0)),Assumptions!$C$20)),"")))</f>
        <v>90000</v>
      </c>
      <c r="K26" s="17" t="n">
        <f aca="false">IF($J26="","",$J26/Assumptions!$C$27)</f>
        <v>20769.2307692308</v>
      </c>
      <c r="L26" s="18" t="n">
        <f aca="false">IF($K26="","",MAX(Assumptions!$C$9*Assumptions!$C$25/($K26*Assumptions!$C$10),0))</f>
        <v>0.317443580367007</v>
      </c>
      <c r="M26" s="18" t="n">
        <f aca="false">IF($K26="","",MAX(Assumptions!$C$9*Assumptions!$C$26/($K26*Assumptions!$C$10),0))</f>
        <v>1.23954159952831</v>
      </c>
      <c r="N26" s="19" t="n">
        <f aca="false">IF($K26="","",MIN(Assumptions!$C$14,52/MAX(Assumptions!$C$9*Assumptions!$C$25/($K26*Assumptions!$C$10),Assumptions!$C$13)))</f>
        <v>26</v>
      </c>
      <c r="O26" s="20" t="str">
        <f aca="false">IF($K26="","",IF($K26&gt;=Assumptions!$C$16,"Tier 1",IF($K26&gt;=Assumptions!$C$17,"Tier 2",IF(AND($G26&lt;&gt;"",$G26&gt;=Assumptions!$C$17),"Tier 3 — micro-conversion tests only","Tier 3"))))</f>
        <v>Tier 1</v>
      </c>
    </row>
    <row r="27" customFormat="false" ht="30" hidden="false" customHeight="true" outlineLevel="0" collapsed="false">
      <c r="A27" s="13" t="s">
        <v>127</v>
      </c>
      <c r="B27" s="13" t="s">
        <v>96</v>
      </c>
      <c r="C27" s="17"/>
      <c r="D27" s="14" t="n">
        <v>3300000</v>
      </c>
      <c r="E27" s="15" t="n">
        <v>810</v>
      </c>
      <c r="F27" s="24"/>
      <c r="G27" s="17"/>
      <c r="H27" s="25" t="s">
        <v>128</v>
      </c>
      <c r="I27" s="16" t="str">
        <f aca="false">IF($C27&lt;&gt;"","Actual orders",IF($D27&lt;&gt;"","Est. from traffic",IF($E27&lt;&gt;"","Est. from revenue","")))</f>
        <v>Est. from traffic</v>
      </c>
      <c r="J27" s="17" t="n">
        <f aca="false">IF($C27&lt;&gt;"",$C27,IF($D27&lt;&gt;"",$D27*IFERROR(INDEX(Assumptions!$C$31:$C$42,MATCH($B27,Assumptions!$B$31:$B$42,0)),Assumptions!$C$19),IF($E27&lt;&gt;"",$E27*1000000/12/IF($F27&lt;&gt;"",$F27,IFERROR(INDEX(Assumptions!$D$31:$D$42,MATCH($B27,Assumptions!$B$31:$B$42,0)),Assumptions!$C$20)),"")))</f>
        <v>115500</v>
      </c>
      <c r="K27" s="17" t="n">
        <f aca="false">IF($J27="","",$J27/Assumptions!$C$27)</f>
        <v>26653.8461538462</v>
      </c>
      <c r="L27" s="18" t="n">
        <f aca="false">IF($K27="","",MAX(Assumptions!$C$9*Assumptions!$C$25/($K27*Assumptions!$C$10),0))</f>
        <v>0.247358634052214</v>
      </c>
      <c r="M27" s="18" t="n">
        <f aca="false">IF($K27="","",MAX(Assumptions!$C$9*Assumptions!$C$26/($K27*Assumptions!$C$10),0))</f>
        <v>0.965876571061024</v>
      </c>
      <c r="N27" s="19" t="n">
        <f aca="false">IF($K27="","",MIN(Assumptions!$C$14,52/MAX(Assumptions!$C$9*Assumptions!$C$25/($K27*Assumptions!$C$10),Assumptions!$C$13)))</f>
        <v>26</v>
      </c>
      <c r="O27" s="20" t="str">
        <f aca="false">IF($K27="","",IF($K27&gt;=Assumptions!$C$16,"Tier 1",IF($K27&gt;=Assumptions!$C$17,"Tier 2",IF(AND($G27&lt;&gt;"",$G27&gt;=Assumptions!$C$17),"Tier 3 — micro-conversion tests only","Tier 3"))))</f>
        <v>Tier 1</v>
      </c>
    </row>
    <row r="28" customFormat="false" ht="30" hidden="false" customHeight="true" outlineLevel="0" collapsed="false">
      <c r="A28" s="13" t="s">
        <v>129</v>
      </c>
      <c r="B28" s="13" t="s">
        <v>67</v>
      </c>
      <c r="C28" s="17"/>
      <c r="D28" s="14" t="n">
        <v>3090000</v>
      </c>
      <c r="E28" s="15" t="n">
        <v>123</v>
      </c>
      <c r="F28" s="24"/>
      <c r="G28" s="17"/>
      <c r="H28" s="25" t="s">
        <v>130</v>
      </c>
      <c r="I28" s="16" t="str">
        <f aca="false">IF($C28&lt;&gt;"","Actual orders",IF($D28&lt;&gt;"","Est. from traffic",IF($E28&lt;&gt;"","Est. from revenue","")))</f>
        <v>Est. from traffic</v>
      </c>
      <c r="J28" s="17" t="n">
        <f aca="false">IF($C28&lt;&gt;"",$C28,IF($D28&lt;&gt;"",$D28*IFERROR(INDEX(Assumptions!$C$31:$C$42,MATCH($B28,Assumptions!$B$31:$B$42,0)),Assumptions!$C$19),IF($E28&lt;&gt;"",$E28*1000000/12/IF($F28&lt;&gt;"",$F28,IFERROR(INDEX(Assumptions!$D$31:$D$42,MATCH($B28,Assumptions!$B$31:$B$42,0)),Assumptions!$C$20)),"")))</f>
        <v>61800</v>
      </c>
      <c r="K28" s="17" t="n">
        <f aca="false">IF($J28="","",$J28/Assumptions!$C$27)</f>
        <v>14261.5384615385</v>
      </c>
      <c r="L28" s="18" t="n">
        <f aca="false">IF($K28="","",MAX(Assumptions!$C$9*Assumptions!$C$25/($K28*Assumptions!$C$10),0))</f>
        <v>0.462296476262632</v>
      </c>
      <c r="M28" s="18" t="n">
        <f aca="false">IF($K28="","",MAX(Assumptions!$C$9*Assumptions!$C$26/($K28*Assumptions!$C$10),0))</f>
        <v>1.80515766921599</v>
      </c>
      <c r="N28" s="19" t="n">
        <f aca="false">IF($K28="","",MIN(Assumptions!$C$14,52/MAX(Assumptions!$C$9*Assumptions!$C$25/($K28*Assumptions!$C$10),Assumptions!$C$13)))</f>
        <v>26</v>
      </c>
      <c r="O28" s="20" t="str">
        <f aca="false">IF($K28="","",IF($K28&gt;=Assumptions!$C$16,"Tier 1",IF($K28&gt;=Assumptions!$C$17,"Tier 2",IF(AND($G28&lt;&gt;"",$G28&gt;=Assumptions!$C$17),"Tier 3 — micro-conversion tests only","Tier 3"))))</f>
        <v>Tier 1</v>
      </c>
    </row>
    <row r="29" customFormat="false" ht="30" hidden="false" customHeight="true" outlineLevel="0" collapsed="false">
      <c r="A29" s="13" t="s">
        <v>131</v>
      </c>
      <c r="B29" s="13" t="s">
        <v>132</v>
      </c>
      <c r="C29" s="17"/>
      <c r="D29" s="17"/>
      <c r="E29" s="15" t="n">
        <v>1464</v>
      </c>
      <c r="F29" s="15" t="n">
        <v>84.72</v>
      </c>
      <c r="G29" s="17"/>
      <c r="H29" s="25" t="s">
        <v>133</v>
      </c>
      <c r="I29" s="16" t="str">
        <f aca="false">IF($C29&lt;&gt;"","Actual orders",IF($D29&lt;&gt;"","Est. from traffic",IF($E29&lt;&gt;"","Est. from revenue","")))</f>
        <v>Est. from revenue</v>
      </c>
      <c r="J29" s="17" t="n">
        <f aca="false">IF($C29&lt;&gt;"",$C29,IF($D29&lt;&gt;"",$D29*IFERROR(INDEX(Assumptions!$C$31:$C$42,MATCH($B29,Assumptions!$B$31:$B$42,0)),Assumptions!$C$19),IF($E29&lt;&gt;"",$E29*1000000/12/IF($F29&lt;&gt;"",$F29,IFERROR(INDEX(Assumptions!$D$31:$D$42,MATCH($B29,Assumptions!$B$31:$B$42,0)),Assumptions!$C$20)),"")))</f>
        <v>1440037.77148253</v>
      </c>
      <c r="K29" s="17" t="n">
        <f aca="false">IF($J29="","",$J29/Assumptions!$C$27)</f>
        <v>332316.408803661</v>
      </c>
      <c r="L29" s="18" t="n">
        <f aca="false">IF($K29="","",MAX(Assumptions!$C$9*Assumptions!$C$25/($K29*Assumptions!$C$10),0))</f>
        <v>0.0198397033736259</v>
      </c>
      <c r="M29" s="18" t="n">
        <f aca="false">IF($K29="","",MAX(Assumptions!$C$9*Assumptions!$C$26/($K29*Assumptions!$C$10),0))</f>
        <v>0.0774693179351106</v>
      </c>
      <c r="N29" s="19" t="n">
        <f aca="false">IF($K29="","",MIN(Assumptions!$C$14,52/MAX(Assumptions!$C$9*Assumptions!$C$25/($K29*Assumptions!$C$10),Assumptions!$C$13)))</f>
        <v>26</v>
      </c>
      <c r="O29" s="20" t="str">
        <f aca="false">IF($K29="","",IF($K29&gt;=Assumptions!$C$16,"Tier 1",IF($K29&gt;=Assumptions!$C$17,"Tier 2",IF(AND($G29&lt;&gt;"",$G29&gt;=Assumptions!$C$17),"Tier 3 — micro-conversion tests only","Tier 3"))))</f>
        <v>Tier 1</v>
      </c>
    </row>
    <row r="30" customFormat="false" ht="30" hidden="false" customHeight="true" outlineLevel="0" collapsed="false">
      <c r="A30" s="13" t="s">
        <v>134</v>
      </c>
      <c r="B30" s="13" t="s">
        <v>63</v>
      </c>
      <c r="C30" s="17"/>
      <c r="D30" s="14" t="n">
        <v>2430000</v>
      </c>
      <c r="E30" s="15" t="n">
        <v>1438</v>
      </c>
      <c r="F30" s="24"/>
      <c r="G30" s="17"/>
      <c r="H30" s="25" t="s">
        <v>135</v>
      </c>
      <c r="I30" s="16" t="str">
        <f aca="false">IF($C30&lt;&gt;"","Actual orders",IF($D30&lt;&gt;"","Est. from traffic",IF($E30&lt;&gt;"","Est. from revenue","")))</f>
        <v>Est. from traffic</v>
      </c>
      <c r="J30" s="17" t="n">
        <f aca="false">IF($C30&lt;&gt;"",$C30,IF($D30&lt;&gt;"",$D30*IFERROR(INDEX(Assumptions!$C$31:$C$42,MATCH($B30,Assumptions!$B$31:$B$42,0)),Assumptions!$C$19),IF($E30&lt;&gt;"",$E30*1000000/12/IF($F30&lt;&gt;"",$F30,IFERROR(INDEX(Assumptions!$D$31:$D$42,MATCH($B30,Assumptions!$B$31:$B$42,0)),Assumptions!$C$20)),"")))</f>
        <v>19440</v>
      </c>
      <c r="K30" s="17" t="n">
        <f aca="false">IF($J30="","",$J30/Assumptions!$C$27)</f>
        <v>4486.15384615385</v>
      </c>
      <c r="L30" s="18" t="n">
        <f aca="false">IF($K30="","",MAX(Assumptions!$C$9*Assumptions!$C$25/($K30*Assumptions!$C$10),0))</f>
        <v>1.46964620540281</v>
      </c>
      <c r="M30" s="18" t="n">
        <f aca="false">IF($K30="","",MAX(Assumptions!$C$9*Assumptions!$C$26/($K30*Assumptions!$C$10),0))</f>
        <v>5.73861851633479</v>
      </c>
      <c r="N30" s="19" t="n">
        <f aca="false">IF($K30="","",MIN(Assumptions!$C$14,52/MAX(Assumptions!$C$9*Assumptions!$C$25/($K30*Assumptions!$C$10),Assumptions!$C$13)))</f>
        <v>26</v>
      </c>
      <c r="O30" s="20" t="str">
        <f aca="false">IF($K30="","",IF($K30&gt;=Assumptions!$C$16,"Tier 1",IF($K30&gt;=Assumptions!$C$17,"Tier 2",IF(AND($G30&lt;&gt;"",$G30&gt;=Assumptions!$C$17),"Tier 3 — micro-conversion tests only","Tier 3"))))</f>
        <v>Tier 2</v>
      </c>
    </row>
    <row r="31" customFormat="false" ht="30" hidden="false" customHeight="true" outlineLevel="0" collapsed="false">
      <c r="A31" s="13" t="s">
        <v>136</v>
      </c>
      <c r="B31" s="13" t="s">
        <v>67</v>
      </c>
      <c r="C31" s="17"/>
      <c r="D31" s="14" t="n">
        <v>1700000</v>
      </c>
      <c r="E31" s="15" t="n">
        <v>125</v>
      </c>
      <c r="F31" s="24"/>
      <c r="G31" s="17"/>
      <c r="H31" s="25" t="s">
        <v>137</v>
      </c>
      <c r="I31" s="16" t="str">
        <f aca="false">IF($C31&lt;&gt;"","Actual orders",IF($D31&lt;&gt;"","Est. from traffic",IF($E31&lt;&gt;"","Est. from revenue","")))</f>
        <v>Est. from traffic</v>
      </c>
      <c r="J31" s="17" t="n">
        <f aca="false">IF($C31&lt;&gt;"",$C31,IF($D31&lt;&gt;"",$D31*IFERROR(INDEX(Assumptions!$C$31:$C$42,MATCH($B31,Assumptions!$B$31:$B$42,0)),Assumptions!$C$19),IF($E31&lt;&gt;"",$E31*1000000/12/IF($F31&lt;&gt;"",$F31,IFERROR(INDEX(Assumptions!$D$31:$D$42,MATCH($B31,Assumptions!$B$31:$B$42,0)),Assumptions!$C$20)),"")))</f>
        <v>34000</v>
      </c>
      <c r="K31" s="17" t="n">
        <f aca="false">IF($J31="","",$J31/Assumptions!$C$27)</f>
        <v>7846.15384615385</v>
      </c>
      <c r="L31" s="18" t="n">
        <f aca="false">IF($K31="","",MAX(Assumptions!$C$9*Assumptions!$C$25/($K31*Assumptions!$C$10),0))</f>
        <v>0.840291830383255</v>
      </c>
      <c r="M31" s="18" t="n">
        <f aca="false">IF($K31="","",MAX(Assumptions!$C$9*Assumptions!$C$26/($K31*Assumptions!$C$10),0))</f>
        <v>3.28113952816319</v>
      </c>
      <c r="N31" s="19" t="n">
        <f aca="false">IF($K31="","",MIN(Assumptions!$C$14,52/MAX(Assumptions!$C$9*Assumptions!$C$25/($K31*Assumptions!$C$10),Assumptions!$C$13)))</f>
        <v>26</v>
      </c>
      <c r="O31" s="20" t="str">
        <f aca="false">IF($K31="","",IF($K31&gt;=Assumptions!$C$16,"Tier 1",IF($K31&gt;=Assumptions!$C$17,"Tier 2",IF(AND($G31&lt;&gt;"",$G31&gt;=Assumptions!$C$17),"Tier 3 — micro-conversion tests only","Tier 3"))))</f>
        <v>Tier 1</v>
      </c>
    </row>
    <row r="32" customFormat="false" ht="30" hidden="false" customHeight="true" outlineLevel="0" collapsed="false">
      <c r="A32" s="13" t="s">
        <v>138</v>
      </c>
      <c r="B32" s="13" t="s">
        <v>96</v>
      </c>
      <c r="C32" s="17"/>
      <c r="D32" s="17"/>
      <c r="E32" s="15" t="n">
        <v>174</v>
      </c>
      <c r="F32" s="15" t="n">
        <v>69.5</v>
      </c>
      <c r="G32" s="17"/>
      <c r="H32" s="25" t="s">
        <v>139</v>
      </c>
      <c r="I32" s="16" t="str">
        <f aca="false">IF($C32&lt;&gt;"","Actual orders",IF($D32&lt;&gt;"","Est. from traffic",IF($E32&lt;&gt;"","Est. from revenue","")))</f>
        <v>Est. from revenue</v>
      </c>
      <c r="J32" s="17" t="n">
        <f aca="false">IF($C32&lt;&gt;"",$C32,IF($D32&lt;&gt;"",$D32*IFERROR(INDEX(Assumptions!$C$31:$C$42,MATCH($B32,Assumptions!$B$31:$B$42,0)),Assumptions!$C$19),IF($E32&lt;&gt;"",$E32*1000000/12/IF($F32&lt;&gt;"",$F32,IFERROR(INDEX(Assumptions!$D$31:$D$42,MATCH($B32,Assumptions!$B$31:$B$42,0)),Assumptions!$C$20)),"")))</f>
        <v>208633.09352518</v>
      </c>
      <c r="K32" s="17" t="n">
        <f aca="false">IF($J32="","",$J32/Assumptions!$C$27)</f>
        <v>48146.0985058107</v>
      </c>
      <c r="L32" s="18" t="n">
        <f aca="false">IF($K32="","",MAX(Assumptions!$C$9*Assumptions!$C$25/($K32*Assumptions!$C$10),0))</f>
        <v>0.136938592772113</v>
      </c>
      <c r="M32" s="18" t="n">
        <f aca="false">IF($K32="","",MAX(Assumptions!$C$9*Assumptions!$C$26/($K32*Assumptions!$C$10),0))</f>
        <v>0.534712600348249</v>
      </c>
      <c r="N32" s="19" t="n">
        <f aca="false">IF($K32="","",MIN(Assumptions!$C$14,52/MAX(Assumptions!$C$9*Assumptions!$C$25/($K32*Assumptions!$C$10),Assumptions!$C$13)))</f>
        <v>26</v>
      </c>
      <c r="O32" s="20" t="str">
        <f aca="false">IF($K32="","",IF($K32&gt;=Assumptions!$C$16,"Tier 1",IF($K32&gt;=Assumptions!$C$17,"Tier 2",IF(AND($G32&lt;&gt;"",$G32&gt;=Assumptions!$C$17),"Tier 3 — micro-conversion tests only","Tier 3"))))</f>
        <v>Tier 1</v>
      </c>
    </row>
    <row r="33" customFormat="false" ht="30" hidden="false" customHeight="true" outlineLevel="0" collapsed="false">
      <c r="A33" s="13" t="s">
        <v>140</v>
      </c>
      <c r="B33" s="13" t="s">
        <v>67</v>
      </c>
      <c r="C33" s="17"/>
      <c r="D33" s="14" t="n">
        <v>1240000</v>
      </c>
      <c r="E33" s="15" t="n">
        <v>153</v>
      </c>
      <c r="F33" s="24"/>
      <c r="G33" s="17"/>
      <c r="H33" s="25" t="s">
        <v>141</v>
      </c>
      <c r="I33" s="16" t="str">
        <f aca="false">IF($C33&lt;&gt;"","Actual orders",IF($D33&lt;&gt;"","Est. from traffic",IF($E33&lt;&gt;"","Est. from revenue","")))</f>
        <v>Est. from traffic</v>
      </c>
      <c r="J33" s="17" t="n">
        <f aca="false">IF($C33&lt;&gt;"",$C33,IF($D33&lt;&gt;"",$D33*IFERROR(INDEX(Assumptions!$C$31:$C$42,MATCH($B33,Assumptions!$B$31:$B$42,0)),Assumptions!$C$19),IF($E33&lt;&gt;"",$E33*1000000/12/IF($F33&lt;&gt;"",$F33,IFERROR(INDEX(Assumptions!$D$31:$D$42,MATCH($B33,Assumptions!$B$31:$B$42,0)),Assumptions!$C$20)),"")))</f>
        <v>24800</v>
      </c>
      <c r="K33" s="17" t="n">
        <f aca="false">IF($J33="","",$J33/Assumptions!$C$27)</f>
        <v>5723.07692307692</v>
      </c>
      <c r="L33" s="18" t="n">
        <f aca="false">IF($K33="","",MAX(Assumptions!$C$9*Assumptions!$C$25/($K33*Assumptions!$C$10),0))</f>
        <v>1.15201299326737</v>
      </c>
      <c r="M33" s="18" t="n">
        <f aca="false">IF($K33="","",MAX(Assumptions!$C$9*Assumptions!$C$26/($K33*Assumptions!$C$10),0))</f>
        <v>4.49833644990114</v>
      </c>
      <c r="N33" s="19" t="n">
        <f aca="false">IF($K33="","",MIN(Assumptions!$C$14,52/MAX(Assumptions!$C$9*Assumptions!$C$25/($K33*Assumptions!$C$10),Assumptions!$C$13)))</f>
        <v>26</v>
      </c>
      <c r="O33" s="20" t="str">
        <f aca="false">IF($K33="","",IF($K33&gt;=Assumptions!$C$16,"Tier 1",IF($K33&gt;=Assumptions!$C$17,"Tier 2",IF(AND($G33&lt;&gt;"",$G33&gt;=Assumptions!$C$17),"Tier 3 — micro-conversion tests only","Tier 3"))))</f>
        <v>Tier 1</v>
      </c>
    </row>
    <row r="34" customFormat="false" ht="30" hidden="false" customHeight="true" outlineLevel="0" collapsed="false">
      <c r="A34" s="13" t="s">
        <v>142</v>
      </c>
      <c r="B34" s="13" t="s">
        <v>143</v>
      </c>
      <c r="C34" s="17"/>
      <c r="D34" s="17"/>
      <c r="E34" s="15" t="n">
        <v>227</v>
      </c>
      <c r="F34" s="15" t="n">
        <v>97</v>
      </c>
      <c r="G34" s="17"/>
      <c r="H34" s="25" t="s">
        <v>144</v>
      </c>
      <c r="I34" s="16" t="str">
        <f aca="false">IF($C34&lt;&gt;"","Actual orders",IF($D34&lt;&gt;"","Est. from traffic",IF($E34&lt;&gt;"","Est. from revenue","")))</f>
        <v>Est. from revenue</v>
      </c>
      <c r="J34" s="17" t="n">
        <f aca="false">IF($C34&lt;&gt;"",$C34,IF($D34&lt;&gt;"",$D34*IFERROR(INDEX(Assumptions!$C$31:$C$42,MATCH($B34,Assumptions!$B$31:$B$42,0)),Assumptions!$C$19),IF($E34&lt;&gt;"",$E34*1000000/12/IF($F34&lt;&gt;"",$F34,IFERROR(INDEX(Assumptions!$D$31:$D$42,MATCH($B34,Assumptions!$B$31:$B$42,0)),Assumptions!$C$20)),"")))</f>
        <v>195017.182130584</v>
      </c>
      <c r="K34" s="17" t="n">
        <f aca="false">IF($J34="","",$J34/Assumptions!$C$27)</f>
        <v>45003.9651070579</v>
      </c>
      <c r="L34" s="18" t="n">
        <f aca="false">IF($K34="","",MAX(Assumptions!$C$9*Assumptions!$C$25/($K34*Assumptions!$C$10),0))</f>
        <v>0.146499513124439</v>
      </c>
      <c r="M34" s="18" t="n">
        <f aca="false">IF($K34="","",MAX(Assumptions!$C$9*Assumptions!$C$26/($K34*Assumptions!$C$10),0))</f>
        <v>0.572045717914477</v>
      </c>
      <c r="N34" s="19" t="n">
        <f aca="false">IF($K34="","",MIN(Assumptions!$C$14,52/MAX(Assumptions!$C$9*Assumptions!$C$25/($K34*Assumptions!$C$10),Assumptions!$C$13)))</f>
        <v>26</v>
      </c>
      <c r="O34" s="20" t="str">
        <f aca="false">IF($K34="","",IF($K34&gt;=Assumptions!$C$16,"Tier 1",IF($K34&gt;=Assumptions!$C$17,"Tier 2",IF(AND($G34&lt;&gt;"",$G34&gt;=Assumptions!$C$17),"Tier 3 — micro-conversion tests only","Tier 3"))))</f>
        <v>Tier 1</v>
      </c>
    </row>
    <row r="35" customFormat="false" ht="30" hidden="false" customHeight="true" outlineLevel="0" collapsed="false">
      <c r="A35" s="13" t="s">
        <v>145</v>
      </c>
      <c r="B35" s="13" t="s">
        <v>143</v>
      </c>
      <c r="C35" s="17"/>
      <c r="D35" s="17"/>
      <c r="E35" s="15" t="n">
        <v>325</v>
      </c>
      <c r="F35" s="15" t="n">
        <v>31.41</v>
      </c>
      <c r="G35" s="17"/>
      <c r="H35" s="25" t="s">
        <v>146</v>
      </c>
      <c r="I35" s="16" t="str">
        <f aca="false">IF($C35&lt;&gt;"","Actual orders",IF($D35&lt;&gt;"","Est. from traffic",IF($E35&lt;&gt;"","Est. from revenue","")))</f>
        <v>Est. from revenue</v>
      </c>
      <c r="J35" s="17" t="n">
        <f aca="false">IF($C35&lt;&gt;"",$C35,IF($D35&lt;&gt;"",$D35*IFERROR(INDEX(Assumptions!$C$31:$C$42,MATCH($B35,Assumptions!$B$31:$B$42,0)),Assumptions!$C$19),IF($E35&lt;&gt;"",$E35*1000000/12/IF($F35&lt;&gt;"",$F35,IFERROR(INDEX(Assumptions!$D$31:$D$42,MATCH($B35,Assumptions!$B$31:$B$42,0)),Assumptions!$C$20)),"")))</f>
        <v>862251.936750504</v>
      </c>
      <c r="K35" s="17" t="n">
        <f aca="false">IF($J35="","",$J35/Assumptions!$C$27)</f>
        <v>198981.216173193</v>
      </c>
      <c r="L35" s="18" t="n">
        <f aca="false">IF($K35="","",MAX(Assumptions!$C$9*Assumptions!$C$25/($K35*Assumptions!$C$10),0))</f>
        <v>0.0331340771940736</v>
      </c>
      <c r="M35" s="18" t="n">
        <f aca="false">IF($K35="","",MAX(Assumptions!$C$9*Assumptions!$C$26/($K35*Assumptions!$C$10),0))</f>
        <v>0.129380682376859</v>
      </c>
      <c r="N35" s="19" t="n">
        <f aca="false">IF($K35="","",MIN(Assumptions!$C$14,52/MAX(Assumptions!$C$9*Assumptions!$C$25/($K35*Assumptions!$C$10),Assumptions!$C$13)))</f>
        <v>26</v>
      </c>
      <c r="O35" s="20" t="str">
        <f aca="false">IF($K35="","",IF($K35&gt;=Assumptions!$C$16,"Tier 1",IF($K35&gt;=Assumptions!$C$17,"Tier 2",IF(AND($G35&lt;&gt;"",$G35&gt;=Assumptions!$C$17),"Tier 3 — micro-conversion tests only","Tier 3"))))</f>
        <v>Tier 1</v>
      </c>
    </row>
    <row r="37" customFormat="false" ht="15" hidden="false" customHeight="false" outlineLevel="0" collapsed="false">
      <c r="A37" s="26" t="s">
        <v>147</v>
      </c>
    </row>
    <row r="38" customFormat="false" ht="15" hidden="false" customHeight="false" outlineLevel="0" collapsed="false">
      <c r="A38" s="26" t="s">
        <v>148</v>
      </c>
    </row>
    <row r="39" customFormat="false" ht="15" hidden="false" customHeight="false" outlineLevel="0" collapsed="false">
      <c r="A39" s="26" t="s">
        <v>149</v>
      </c>
    </row>
    <row r="40" customFormat="false" ht="15" hidden="false" customHeight="false" outlineLevel="0" collapsed="false">
      <c r="A40" s="26" t="s">
        <v>150</v>
      </c>
    </row>
  </sheetData>
  <conditionalFormatting sqref="O6:O35">
    <cfRule type="expression" priority="2" aboveAverage="0" equalAverage="0" bottom="0" percent="0" rank="0" text="" dxfId="10">
      <formula>LEFT($O6,6)="Tier 1"</formula>
    </cfRule>
    <cfRule type="expression" priority="3" aboveAverage="0" equalAverage="0" bottom="0" percent="0" rank="0" text="" dxfId="11">
      <formula>LEFT($O6,6)="Tier 2"</formula>
    </cfRule>
    <cfRule type="expression" priority="4" aboveAverage="0" equalAverage="0" bottom="0" percent="0" rank="0" text="" dxfId="12">
      <formula>LEFT($O6,6)="Tier 3"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64"/>
  </cols>
  <sheetData>
    <row r="2" customFormat="false" ht="19.7" hidden="false" customHeight="false" outlineLevel="0" collapsed="false">
      <c r="B2" s="1" t="s">
        <v>151</v>
      </c>
    </row>
    <row r="3" customFormat="false" ht="15" hidden="false" customHeight="false" outlineLevel="0" collapsed="false">
      <c r="B3" s="2" t="s">
        <v>152</v>
      </c>
    </row>
    <row r="5" customFormat="false" ht="15" hidden="false" customHeight="false" outlineLevel="0" collapsed="false">
      <c r="B5" s="3" t="s">
        <v>153</v>
      </c>
    </row>
    <row r="6" customFormat="false" ht="28.35" hidden="false" customHeight="false" outlineLevel="0" collapsed="false">
      <c r="B6" s="26" t="s">
        <v>44</v>
      </c>
      <c r="C6" s="27" t="s">
        <v>154</v>
      </c>
    </row>
    <row r="7" customFormat="false" ht="28.35" hidden="false" customHeight="false" outlineLevel="0" collapsed="false">
      <c r="B7" s="26" t="s">
        <v>45</v>
      </c>
      <c r="C7" s="27" t="s">
        <v>67</v>
      </c>
    </row>
    <row r="8" customFormat="false" ht="15" hidden="false" customHeight="false" outlineLevel="0" collapsed="false">
      <c r="B8" s="26" t="s">
        <v>155</v>
      </c>
      <c r="C8" s="28" t="n">
        <v>22282</v>
      </c>
    </row>
    <row r="9" customFormat="false" ht="15" hidden="false" customHeight="false" outlineLevel="0" collapsed="false">
      <c r="B9" s="26" t="s">
        <v>156</v>
      </c>
      <c r="C9" s="28"/>
    </row>
    <row r="10" customFormat="false" ht="15" hidden="false" customHeight="false" outlineLevel="0" collapsed="false">
      <c r="B10" s="26" t="s">
        <v>157</v>
      </c>
      <c r="C10" s="29"/>
    </row>
    <row r="11" customFormat="false" ht="15" hidden="false" customHeight="false" outlineLevel="0" collapsed="false">
      <c r="B11" s="26" t="s">
        <v>80</v>
      </c>
      <c r="C11" s="29" t="n">
        <v>278</v>
      </c>
    </row>
    <row r="12" customFormat="false" ht="15" hidden="false" customHeight="false" outlineLevel="0" collapsed="false">
      <c r="B12" s="26" t="s">
        <v>158</v>
      </c>
      <c r="C12" s="28"/>
    </row>
    <row r="13" customFormat="false" ht="15" hidden="false" customHeight="false" outlineLevel="0" collapsed="false">
      <c r="B13" s="3" t="s">
        <v>159</v>
      </c>
    </row>
    <row r="14" customFormat="false" ht="15" hidden="false" customHeight="false" outlineLevel="0" collapsed="false">
      <c r="B14" s="26" t="s">
        <v>160</v>
      </c>
      <c r="C14" s="30" t="str">
        <f aca="false">IF($C$8&lt;&gt;"","Actual orders",IF($C$9&lt;&gt;"","Est. from traffic",IF($C$10&lt;&gt;"","Est. from revenue","Enter an input")))</f>
        <v>Actual orders</v>
      </c>
      <c r="D14" s="31"/>
    </row>
    <row r="15" customFormat="false" ht="15" hidden="false" customHeight="false" outlineLevel="0" collapsed="false">
      <c r="B15" s="26" t="s">
        <v>161</v>
      </c>
      <c r="C15" s="32" t="n">
        <f aca="false">IF($C$8&lt;&gt;"",$C$8,IF($C$9&lt;&gt;"",$C$9*IFERROR(INDEX(Assumptions!$C$31:$C$42,MATCH($C$7,Assumptions!$B$31:$B$42,0)),Assumptions!$C$19),IF($C$10&lt;&gt;"",$C$10*1000000/12/IF($C$11&lt;&gt;"",$C$11,IFERROR(INDEX(Assumptions!$D$31:$D$42,MATCH($C$7,Assumptions!$B$31:$B$42,0)),Assumptions!$C$20)),"")))</f>
        <v>22282</v>
      </c>
      <c r="D15" s="31"/>
    </row>
    <row r="16" customFormat="false" ht="15" hidden="false" customHeight="false" outlineLevel="0" collapsed="false">
      <c r="B16" s="26" t="s">
        <v>162</v>
      </c>
      <c r="C16" s="32" t="n">
        <f aca="false">IF($C$15="","",$C$15/Assumptions!$C$27)</f>
        <v>5142</v>
      </c>
      <c r="D16" s="31"/>
    </row>
    <row r="17" customFormat="false" ht="15" hidden="false" customHeight="false" outlineLevel="0" collapsed="false">
      <c r="B17" s="26" t="s">
        <v>163</v>
      </c>
      <c r="C17" s="33" t="n">
        <f aca="false">IF($C$16="","",Assumptions!$C$9*Assumptions!$C$25/($C$16*Assumptions!$C$10))</f>
        <v>1.2821973895086</v>
      </c>
      <c r="D17" s="31" t="s">
        <v>164</v>
      </c>
    </row>
    <row r="18" customFormat="false" ht="15" hidden="false" customHeight="false" outlineLevel="0" collapsed="false">
      <c r="B18" s="26" t="s">
        <v>165</v>
      </c>
      <c r="C18" s="34" t="n">
        <f aca="false">IF($C$16="","",Assumptions!$C$9*Assumptions!$C$26/($C$16*Assumptions!$C$10))</f>
        <v>5.00667552093835</v>
      </c>
      <c r="D18" s="31" t="s">
        <v>164</v>
      </c>
    </row>
    <row r="19" customFormat="false" ht="15" hidden="false" customHeight="false" outlineLevel="0" collapsed="false">
      <c r="B19" s="26" t="s">
        <v>166</v>
      </c>
      <c r="C19" s="35" t="n">
        <f aca="false">IF($C$16="","",MIN(Assumptions!$C$14,52/MAX($C$17,Assumptions!$C$13)))</f>
        <v>26</v>
      </c>
      <c r="D19" s="31"/>
    </row>
    <row r="20" customFormat="false" ht="15" hidden="false" customHeight="false" outlineLevel="0" collapsed="false">
      <c r="B20" s="26" t="s">
        <v>58</v>
      </c>
      <c r="C20" s="36" t="str">
        <f aca="false">IF($C$16="","",IF($C$16&gt;=Assumptions!$C$16,"Tier 1",IF($C$16&gt;=Assumptions!$C$17,"Tier 2",IF(AND($C$12&lt;&gt;"",$C$12&gt;=Assumptions!$C$17),"Tier 3 — micro-conversion tests only","Tier 3"))))</f>
        <v>Tier 1</v>
      </c>
      <c r="D20" s="31"/>
    </row>
    <row r="21" customFormat="false" ht="30" hidden="false" customHeight="true" outlineLevel="0" collapsed="false">
      <c r="B21" s="26" t="s">
        <v>167</v>
      </c>
      <c r="C21" s="30" t="str">
        <f aca="false">IF($C$20="","",IF(LEFT($C$20,6)="Tier 1","Pursue — offer trial; 2-week tests on purchase metrics",IF(LEFT($C$20,6)="Tier 2","Qualify — trial on top-traffic pages only; bold tests (≥10% lift)",IF($C$20="Tier 3","Don't trial A/B — nurture or sell non-testing services","Trial only if tests are scored on CTA clicks / leads, not purchases"))))</f>
        <v>Pursue — offer trial; 2-week tests on purchase metrics</v>
      </c>
      <c r="D21" s="31"/>
    </row>
    <row r="22" customFormat="false" ht="15" hidden="false" customHeight="false" outlineLevel="0" collapsed="false">
      <c r="B22" s="26" t="s">
        <v>168</v>
      </c>
      <c r="C22" s="37" t="n">
        <f aca="false">IF($C$16="","",SQRT(Assumptions!$C$24*2/($C$16*4*Assumptions!$C$10/Assumptions!$C$9)))</f>
        <v>0.0552526101410733</v>
      </c>
      <c r="D22" s="31" t="s">
        <v>169</v>
      </c>
    </row>
  </sheetData>
  <conditionalFormatting sqref="C20">
    <cfRule type="expression" priority="2" aboveAverage="0" equalAverage="0" bottom="0" percent="0" rank="0" text="" dxfId="10">
      <formula>LEFT($C$20,6)="Tier 1"</formula>
    </cfRule>
    <cfRule type="expression" priority="3" aboveAverage="0" equalAverage="0" bottom="0" percent="0" rank="0" text="" dxfId="11">
      <formula>LEFT($C$20,6)="Tier 2"</formula>
    </cfRule>
    <cfRule type="expression" priority="4" aboveAverage="0" equalAverage="0" bottom="0" percent="0" rank="0" text="" dxfId="12">
      <formula>LEFT($C$20,6)="Tier 3"</formula>
    </cfRule>
  </conditionalFormatting>
  <conditionalFormatting sqref="C17:C18">
    <cfRule type="expression" priority="5" aboveAverage="0" equalAverage="0" bottom="0" percent="0" rank="0" text="" dxfId="13">
      <formula>AND(C17&lt;&gt;"",C17&gt;8)</formula>
    </cfRule>
  </conditionalFormatting>
  <dataValidations count="1">
    <dataValidation allowBlank="true" errorStyle="stop" operator="between" showDropDown="false" showErrorMessage="false" showInputMessage="false" sqref="C7" type="list">
      <formula1>Assumptions!$B$31:$B$42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170</v>
      </c>
    </row>
    <row r="3" customFormat="false" ht="15" hidden="false" customHeight="false" outlineLevel="0" collapsed="false">
      <c r="B3" s="2" t="s">
        <v>171</v>
      </c>
    </row>
    <row r="5" customFormat="false" ht="15" hidden="false" customHeight="false" outlineLevel="0" collapsed="false">
      <c r="B5" s="11" t="s">
        <v>172</v>
      </c>
      <c r="C5" s="38" t="n">
        <v>0.03</v>
      </c>
      <c r="D5" s="38" t="n">
        <v>0.05</v>
      </c>
      <c r="E5" s="38" t="n">
        <v>0.1</v>
      </c>
      <c r="F5" s="38" t="n">
        <v>0.15</v>
      </c>
      <c r="G5" s="38" t="n">
        <v>0.2</v>
      </c>
    </row>
    <row r="6" customFormat="false" ht="15" hidden="false" customHeight="false" outlineLevel="0" collapsed="false">
      <c r="B6" s="39" t="n">
        <v>50</v>
      </c>
      <c r="C6" s="40" t="n">
        <f aca="false">Assumptions!$C$9*Assumptions!$C$24*(2+C$5)/C$5^2/($B6*Assumptions!$C$10)</f>
        <v>1416.28674317588</v>
      </c>
      <c r="D6" s="40" t="n">
        <f aca="false">Assumptions!$C$9*Assumptions!$C$24*(2+D$5)/D$5^2/($B6*Assumptions!$C$10)</f>
        <v>514.8865105733</v>
      </c>
      <c r="E6" s="40" t="n">
        <f aca="false">Assumptions!$C$9*Assumptions!$C$24*(2+E$5)/E$5^2/($B6*Assumptions!$C$10)</f>
        <v>131.861179537065</v>
      </c>
      <c r="F6" s="40" t="n">
        <f aca="false">Assumptions!$C$9*Assumptions!$C$24*(2+F$5)/F$5^2/($B6*Assumptions!$C$10)</f>
        <v>60.0003250803575</v>
      </c>
      <c r="G6" s="40" t="n">
        <f aca="false">Assumptions!$C$9*Assumptions!$C$24*(2+G$5)/G$5^2/($B6*Assumptions!$C$10)</f>
        <v>34.535070831136</v>
      </c>
    </row>
    <row r="7" customFormat="false" ht="15" hidden="false" customHeight="false" outlineLevel="0" collapsed="false">
      <c r="B7" s="39" t="n">
        <v>250</v>
      </c>
      <c r="C7" s="40" t="n">
        <f aca="false">Assumptions!$C$9*Assumptions!$C$24*(2+C$5)/C$5^2/($B7*Assumptions!$C$10)</f>
        <v>283.257348635176</v>
      </c>
      <c r="D7" s="40" t="n">
        <f aca="false">Assumptions!$C$9*Assumptions!$C$24*(2+D$5)/D$5^2/($B7*Assumptions!$C$10)</f>
        <v>102.97730211466</v>
      </c>
      <c r="E7" s="40" t="n">
        <f aca="false">Assumptions!$C$9*Assumptions!$C$24*(2+E$5)/E$5^2/($B7*Assumptions!$C$10)</f>
        <v>26.3722359074129</v>
      </c>
      <c r="F7" s="40" t="n">
        <f aca="false">Assumptions!$C$9*Assumptions!$C$24*(2+F$5)/F$5^2/($B7*Assumptions!$C$10)</f>
        <v>12.0000650160715</v>
      </c>
      <c r="G7" s="40" t="n">
        <f aca="false">Assumptions!$C$9*Assumptions!$C$24*(2+G$5)/G$5^2/($B7*Assumptions!$C$10)</f>
        <v>6.9070141662272</v>
      </c>
    </row>
    <row r="8" customFormat="false" ht="15" hidden="false" customHeight="false" outlineLevel="0" collapsed="false">
      <c r="B8" s="39" t="n">
        <v>500</v>
      </c>
      <c r="C8" s="40" t="n">
        <f aca="false">Assumptions!$C$9*Assumptions!$C$24*(2+C$5)/C$5^2/($B8*Assumptions!$C$10)</f>
        <v>141.628674317588</v>
      </c>
      <c r="D8" s="40" t="n">
        <f aca="false">Assumptions!$C$9*Assumptions!$C$24*(2+D$5)/D$5^2/($B8*Assumptions!$C$10)</f>
        <v>51.48865105733</v>
      </c>
      <c r="E8" s="40" t="n">
        <f aca="false">Assumptions!$C$9*Assumptions!$C$24*(2+E$5)/E$5^2/($B8*Assumptions!$C$10)</f>
        <v>13.1861179537065</v>
      </c>
      <c r="F8" s="40" t="n">
        <f aca="false">Assumptions!$C$9*Assumptions!$C$24*(2+F$5)/F$5^2/($B8*Assumptions!$C$10)</f>
        <v>6.00003250803575</v>
      </c>
      <c r="G8" s="40" t="n">
        <f aca="false">Assumptions!$C$9*Assumptions!$C$24*(2+G$5)/G$5^2/($B8*Assumptions!$C$10)</f>
        <v>3.4535070831136</v>
      </c>
    </row>
    <row r="9" customFormat="false" ht="15" hidden="false" customHeight="false" outlineLevel="0" collapsed="false">
      <c r="B9" s="39" t="n">
        <v>1000</v>
      </c>
      <c r="C9" s="40" t="n">
        <f aca="false">Assumptions!$C$9*Assumptions!$C$24*(2+C$5)/C$5^2/($B9*Assumptions!$C$10)</f>
        <v>70.814337158794</v>
      </c>
      <c r="D9" s="40" t="n">
        <f aca="false">Assumptions!$C$9*Assumptions!$C$24*(2+D$5)/D$5^2/($B9*Assumptions!$C$10)</f>
        <v>25.744325528665</v>
      </c>
      <c r="E9" s="40" t="n">
        <f aca="false">Assumptions!$C$9*Assumptions!$C$24*(2+E$5)/E$5^2/($B9*Assumptions!$C$10)</f>
        <v>6.59305897685323</v>
      </c>
      <c r="F9" s="40" t="n">
        <f aca="false">Assumptions!$C$9*Assumptions!$C$24*(2+F$5)/F$5^2/($B9*Assumptions!$C$10)</f>
        <v>3.00001625401787</v>
      </c>
      <c r="G9" s="40" t="n">
        <f aca="false">Assumptions!$C$9*Assumptions!$C$24*(2+G$5)/G$5^2/($B9*Assumptions!$C$10)</f>
        <v>1.7267535415568</v>
      </c>
    </row>
    <row r="10" customFormat="false" ht="15" hidden="false" customHeight="false" outlineLevel="0" collapsed="false">
      <c r="B10" s="39" t="n">
        <v>1500</v>
      </c>
      <c r="C10" s="40" t="n">
        <f aca="false">Assumptions!$C$9*Assumptions!$C$24*(2+C$5)/C$5^2/($B10*Assumptions!$C$10)</f>
        <v>47.2095581058626</v>
      </c>
      <c r="D10" s="40" t="n">
        <f aca="false">Assumptions!$C$9*Assumptions!$C$24*(2+D$5)/D$5^2/($B10*Assumptions!$C$10)</f>
        <v>17.1628836857767</v>
      </c>
      <c r="E10" s="40" t="n">
        <f aca="false">Assumptions!$C$9*Assumptions!$C$24*(2+E$5)/E$5^2/($B10*Assumptions!$C$10)</f>
        <v>4.39537265123549</v>
      </c>
      <c r="F10" s="40" t="n">
        <f aca="false">Assumptions!$C$9*Assumptions!$C$24*(2+F$5)/F$5^2/($B10*Assumptions!$C$10)</f>
        <v>2.00001083601192</v>
      </c>
      <c r="G10" s="40" t="n">
        <f aca="false">Assumptions!$C$9*Assumptions!$C$24*(2+G$5)/G$5^2/($B10*Assumptions!$C$10)</f>
        <v>1.15116902770453</v>
      </c>
    </row>
    <row r="11" customFormat="false" ht="15" hidden="false" customHeight="false" outlineLevel="0" collapsed="false">
      <c r="B11" s="39" t="n">
        <v>2500</v>
      </c>
      <c r="C11" s="40" t="n">
        <f aca="false">Assumptions!$C$9*Assumptions!$C$24*(2+C$5)/C$5^2/($B11*Assumptions!$C$10)</f>
        <v>28.3257348635176</v>
      </c>
      <c r="D11" s="40" t="n">
        <f aca="false">Assumptions!$C$9*Assumptions!$C$24*(2+D$5)/D$5^2/($B11*Assumptions!$C$10)</f>
        <v>10.297730211466</v>
      </c>
      <c r="E11" s="40" t="n">
        <f aca="false">Assumptions!$C$9*Assumptions!$C$24*(2+E$5)/E$5^2/($B11*Assumptions!$C$10)</f>
        <v>2.63722359074129</v>
      </c>
      <c r="F11" s="40" t="n">
        <f aca="false">Assumptions!$C$9*Assumptions!$C$24*(2+F$5)/F$5^2/($B11*Assumptions!$C$10)</f>
        <v>1.20000650160715</v>
      </c>
      <c r="G11" s="40" t="n">
        <f aca="false">Assumptions!$C$9*Assumptions!$C$24*(2+G$5)/G$5^2/($B11*Assumptions!$C$10)</f>
        <v>0.69070141662272</v>
      </c>
    </row>
    <row r="12" customFormat="false" ht="15" hidden="false" customHeight="false" outlineLevel="0" collapsed="false">
      <c r="B12" s="39" t="n">
        <v>5000</v>
      </c>
      <c r="C12" s="40" t="n">
        <f aca="false">Assumptions!$C$9*Assumptions!$C$24*(2+C$5)/C$5^2/($B12*Assumptions!$C$10)</f>
        <v>14.1628674317588</v>
      </c>
      <c r="D12" s="40" t="n">
        <f aca="false">Assumptions!$C$9*Assumptions!$C$24*(2+D$5)/D$5^2/($B12*Assumptions!$C$10)</f>
        <v>5.148865105733</v>
      </c>
      <c r="E12" s="40" t="n">
        <f aca="false">Assumptions!$C$9*Assumptions!$C$24*(2+E$5)/E$5^2/($B12*Assumptions!$C$10)</f>
        <v>1.31861179537065</v>
      </c>
      <c r="F12" s="40" t="n">
        <f aca="false">Assumptions!$C$9*Assumptions!$C$24*(2+F$5)/F$5^2/($B12*Assumptions!$C$10)</f>
        <v>0.600003250803575</v>
      </c>
      <c r="G12" s="40" t="n">
        <f aca="false">Assumptions!$C$9*Assumptions!$C$24*(2+G$5)/G$5^2/($B12*Assumptions!$C$10)</f>
        <v>0.34535070831136</v>
      </c>
    </row>
    <row r="13" customFormat="false" ht="15" hidden="false" customHeight="false" outlineLevel="0" collapsed="false">
      <c r="B13" s="39" t="n">
        <v>10000</v>
      </c>
      <c r="C13" s="40" t="n">
        <f aca="false">Assumptions!$C$9*Assumptions!$C$24*(2+C$5)/C$5^2/($B13*Assumptions!$C$10)</f>
        <v>7.0814337158794</v>
      </c>
      <c r="D13" s="40" t="n">
        <f aca="false">Assumptions!$C$9*Assumptions!$C$24*(2+D$5)/D$5^2/($B13*Assumptions!$C$10)</f>
        <v>2.5744325528665</v>
      </c>
      <c r="E13" s="40" t="n">
        <f aca="false">Assumptions!$C$9*Assumptions!$C$24*(2+E$5)/E$5^2/($B13*Assumptions!$C$10)</f>
        <v>0.659305897685323</v>
      </c>
      <c r="F13" s="40" t="n">
        <f aca="false">Assumptions!$C$9*Assumptions!$C$24*(2+F$5)/F$5^2/($B13*Assumptions!$C$10)</f>
        <v>0.300001625401787</v>
      </c>
      <c r="G13" s="40" t="n">
        <f aca="false">Assumptions!$C$9*Assumptions!$C$24*(2+G$5)/G$5^2/($B13*Assumptions!$C$10)</f>
        <v>0.17267535415568</v>
      </c>
    </row>
    <row r="14" customFormat="false" ht="15" hidden="false" customHeight="false" outlineLevel="0" collapsed="false">
      <c r="B14" s="39" t="n">
        <v>20000</v>
      </c>
      <c r="C14" s="40" t="n">
        <f aca="false">Assumptions!$C$9*Assumptions!$C$24*(2+C$5)/C$5^2/($B14*Assumptions!$C$10)</f>
        <v>3.5407168579397</v>
      </c>
      <c r="D14" s="40" t="n">
        <f aca="false">Assumptions!$C$9*Assumptions!$C$24*(2+D$5)/D$5^2/($B14*Assumptions!$C$10)</f>
        <v>1.28721627643325</v>
      </c>
      <c r="E14" s="40" t="n">
        <f aca="false">Assumptions!$C$9*Assumptions!$C$24*(2+E$5)/E$5^2/($B14*Assumptions!$C$10)</f>
        <v>0.329652948842662</v>
      </c>
      <c r="F14" s="40" t="n">
        <f aca="false">Assumptions!$C$9*Assumptions!$C$24*(2+F$5)/F$5^2/($B14*Assumptions!$C$10)</f>
        <v>0.150000812700894</v>
      </c>
      <c r="G14" s="40" t="n">
        <f aca="false">Assumptions!$C$9*Assumptions!$C$24*(2+G$5)/G$5^2/($B14*Assumptions!$C$10)</f>
        <v>0.0863376770778399</v>
      </c>
    </row>
    <row r="16" customFormat="false" ht="15" hidden="false" customHeight="false" outlineLevel="0" collapsed="false">
      <c r="B16" s="26" t="s">
        <v>173</v>
      </c>
    </row>
    <row r="17" customFormat="false" ht="15" hidden="false" customHeight="false" outlineLevel="0" collapsed="false">
      <c r="B17" s="26" t="s">
        <v>174</v>
      </c>
    </row>
    <row r="18" customFormat="false" ht="15" hidden="false" customHeight="false" outlineLevel="0" collapsed="false">
      <c r="B18" s="26" t="s">
        <v>175</v>
      </c>
    </row>
  </sheetData>
  <conditionalFormatting sqref="C6:G14">
    <cfRule type="expression" priority="2" aboveAverage="0" equalAverage="0" bottom="0" percent="0" rank="0" text="" dxfId="13">
      <formula>C6&gt;8</formula>
    </cfRule>
    <cfRule type="expression" priority="3" aboveAverage="0" equalAverage="0" bottom="0" percent="0" rank="0" text="" dxfId="14">
      <formula>C6&lt;=2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80"/>
  </cols>
  <sheetData>
    <row r="2" customFormat="false" ht="19.7" hidden="false" customHeight="false" outlineLevel="0" collapsed="false">
      <c r="B2" s="1" t="s">
        <v>176</v>
      </c>
    </row>
    <row r="3" customFormat="false" ht="15" hidden="false" customHeight="false" outlineLevel="0" collapsed="false">
      <c r="B3" s="2" t="s">
        <v>177</v>
      </c>
    </row>
    <row r="5" customFormat="false" ht="15" hidden="false" customHeight="false" outlineLevel="0" collapsed="false">
      <c r="B5" s="12" t="s">
        <v>178</v>
      </c>
      <c r="C5" s="12" t="s">
        <v>179</v>
      </c>
      <c r="D5" s="12"/>
      <c r="E5" s="12" t="s">
        <v>180</v>
      </c>
    </row>
    <row r="6" customFormat="false" ht="15" hidden="false" customHeight="false" outlineLevel="0" collapsed="false">
      <c r="B6" s="3" t="s">
        <v>181</v>
      </c>
    </row>
    <row r="7" customFormat="false" ht="15" hidden="false" customHeight="false" outlineLevel="0" collapsed="false">
      <c r="B7" s="26" t="s">
        <v>182</v>
      </c>
      <c r="C7" s="41" t="n">
        <v>0.95</v>
      </c>
      <c r="E7" s="31" t="s">
        <v>183</v>
      </c>
    </row>
    <row r="8" customFormat="false" ht="15" hidden="false" customHeight="false" outlineLevel="0" collapsed="false">
      <c r="B8" s="26" t="s">
        <v>184</v>
      </c>
      <c r="C8" s="41" t="n">
        <v>0.8</v>
      </c>
      <c r="E8" s="31" t="s">
        <v>185</v>
      </c>
    </row>
    <row r="9" customFormat="false" ht="15" hidden="false" customHeight="false" outlineLevel="0" collapsed="false">
      <c r="B9" s="26" t="s">
        <v>186</v>
      </c>
      <c r="C9" s="42" t="n">
        <v>2</v>
      </c>
      <c r="E9" s="31" t="s">
        <v>187</v>
      </c>
    </row>
    <row r="10" customFormat="false" ht="15" hidden="false" customHeight="false" outlineLevel="0" collapsed="false">
      <c r="B10" s="26" t="s">
        <v>188</v>
      </c>
      <c r="C10" s="41" t="n">
        <v>0.5</v>
      </c>
      <c r="E10" s="31" t="s">
        <v>189</v>
      </c>
    </row>
    <row r="11" customFormat="false" ht="15" hidden="false" customHeight="false" outlineLevel="0" collapsed="false">
      <c r="B11" s="26" t="s">
        <v>190</v>
      </c>
      <c r="C11" s="41" t="n">
        <v>0.1</v>
      </c>
      <c r="E11" s="31" t="s">
        <v>191</v>
      </c>
    </row>
    <row r="12" customFormat="false" ht="15" hidden="false" customHeight="false" outlineLevel="0" collapsed="false">
      <c r="B12" s="26" t="s">
        <v>192</v>
      </c>
      <c r="C12" s="41" t="n">
        <v>0.05</v>
      </c>
      <c r="E12" s="31" t="s">
        <v>193</v>
      </c>
    </row>
    <row r="13" customFormat="false" ht="15" hidden="false" customHeight="false" outlineLevel="0" collapsed="false">
      <c r="B13" s="26" t="s">
        <v>194</v>
      </c>
      <c r="C13" s="42" t="n">
        <v>2</v>
      </c>
      <c r="E13" s="31" t="s">
        <v>195</v>
      </c>
    </row>
    <row r="14" customFormat="false" ht="15" hidden="false" customHeight="false" outlineLevel="0" collapsed="false">
      <c r="B14" s="26" t="s">
        <v>196</v>
      </c>
      <c r="C14" s="42" t="n">
        <v>26</v>
      </c>
      <c r="E14" s="31" t="s">
        <v>197</v>
      </c>
    </row>
    <row r="15" customFormat="false" ht="15" hidden="false" customHeight="false" outlineLevel="0" collapsed="false">
      <c r="B15" s="3" t="s">
        <v>198</v>
      </c>
    </row>
    <row r="16" customFormat="false" ht="15" hidden="false" customHeight="false" outlineLevel="0" collapsed="false">
      <c r="B16" s="26" t="s">
        <v>199</v>
      </c>
      <c r="C16" s="43" t="n">
        <v>5000</v>
      </c>
      <c r="E16" s="31" t="s">
        <v>200</v>
      </c>
    </row>
    <row r="17" customFormat="false" ht="15" hidden="false" customHeight="false" outlineLevel="0" collapsed="false">
      <c r="B17" s="26" t="s">
        <v>201</v>
      </c>
      <c r="C17" s="43" t="n">
        <v>1500</v>
      </c>
      <c r="E17" s="31" t="s">
        <v>202</v>
      </c>
    </row>
    <row r="18" customFormat="false" ht="15" hidden="false" customHeight="false" outlineLevel="0" collapsed="false">
      <c r="B18" s="3" t="s">
        <v>203</v>
      </c>
    </row>
    <row r="19" customFormat="false" ht="15" hidden="false" customHeight="false" outlineLevel="0" collapsed="false">
      <c r="B19" s="26" t="s">
        <v>204</v>
      </c>
      <c r="C19" s="44" t="n">
        <v>0.02</v>
      </c>
      <c r="E19" s="31" t="s">
        <v>205</v>
      </c>
    </row>
    <row r="20" customFormat="false" ht="15" hidden="false" customHeight="false" outlineLevel="0" collapsed="false">
      <c r="B20" s="26" t="s">
        <v>206</v>
      </c>
      <c r="C20" s="45" t="n">
        <v>130</v>
      </c>
      <c r="E20" s="31" t="s">
        <v>207</v>
      </c>
    </row>
    <row r="21" customFormat="false" ht="15" hidden="false" customHeight="false" outlineLevel="0" collapsed="false">
      <c r="B21" s="3" t="s">
        <v>208</v>
      </c>
    </row>
    <row r="22" customFormat="false" ht="15" hidden="false" customHeight="false" outlineLevel="0" collapsed="false">
      <c r="B22" s="26" t="s">
        <v>209</v>
      </c>
      <c r="C22" s="46" t="n">
        <f aca="false">NORMSINV(1-(1-$C$7)/2)</f>
        <v>1.95996398454005</v>
      </c>
      <c r="E22" s="31" t="s">
        <v>210</v>
      </c>
    </row>
    <row r="23" customFormat="false" ht="15" hidden="false" customHeight="false" outlineLevel="0" collapsed="false">
      <c r="B23" s="26" t="s">
        <v>211</v>
      </c>
      <c r="C23" s="46" t="n">
        <f aca="false">NORMSINV($C$8)</f>
        <v>0.841621233572914</v>
      </c>
      <c r="E23" s="31" t="s">
        <v>212</v>
      </c>
    </row>
    <row r="24" customFormat="false" ht="15" hidden="false" customHeight="false" outlineLevel="0" collapsed="false">
      <c r="B24" s="26" t="s">
        <v>213</v>
      </c>
      <c r="C24" s="47" t="n">
        <f aca="false">($C$22+$C$23)^2</f>
        <v>7.84887973434909</v>
      </c>
      <c r="E24" s="31" t="s">
        <v>214</v>
      </c>
    </row>
    <row r="25" customFormat="false" ht="15" hidden="false" customHeight="false" outlineLevel="0" collapsed="false">
      <c r="B25" s="26" t="s">
        <v>215</v>
      </c>
      <c r="C25" s="48" t="n">
        <f aca="false">$C$24*(2+$C$11)/$C$11^2</f>
        <v>1648.26474421331</v>
      </c>
      <c r="E25" s="31" t="s">
        <v>216</v>
      </c>
    </row>
    <row r="26" customFormat="false" ht="15" hidden="false" customHeight="false" outlineLevel="0" collapsed="false">
      <c r="B26" s="26" t="s">
        <v>217</v>
      </c>
      <c r="C26" s="48" t="n">
        <f aca="false">$C$24*(2+$C$12)/$C$12^2</f>
        <v>6436.08138216625</v>
      </c>
      <c r="E26" s="31" t="s">
        <v>218</v>
      </c>
    </row>
    <row r="27" customFormat="false" ht="15" hidden="false" customHeight="false" outlineLevel="0" collapsed="false">
      <c r="B27" s="26" t="s">
        <v>219</v>
      </c>
      <c r="C27" s="47" t="n">
        <f aca="false">52/12</f>
        <v>4.33333333333333</v>
      </c>
      <c r="E27" s="31"/>
    </row>
    <row r="29" customFormat="false" ht="15" hidden="false" customHeight="false" outlineLevel="0" collapsed="false">
      <c r="B29" s="3" t="s">
        <v>220</v>
      </c>
    </row>
    <row r="30" customFormat="false" ht="15" hidden="false" customHeight="false" outlineLevel="0" collapsed="false">
      <c r="B30" s="12" t="s">
        <v>45</v>
      </c>
      <c r="C30" s="12" t="s">
        <v>221</v>
      </c>
      <c r="D30" s="12" t="s">
        <v>80</v>
      </c>
      <c r="E30" s="12" t="s">
        <v>222</v>
      </c>
    </row>
    <row r="31" customFormat="false" ht="15" hidden="false" customHeight="false" outlineLevel="0" collapsed="false">
      <c r="B31" s="26" t="s">
        <v>67</v>
      </c>
      <c r="C31" s="49" t="n">
        <v>0.02</v>
      </c>
      <c r="D31" s="15" t="n">
        <v>120</v>
      </c>
      <c r="E31" s="31" t="s">
        <v>223</v>
      </c>
    </row>
    <row r="32" customFormat="false" ht="15" hidden="false" customHeight="false" outlineLevel="0" collapsed="false">
      <c r="B32" s="26" t="s">
        <v>96</v>
      </c>
      <c r="C32" s="49" t="n">
        <v>0.035</v>
      </c>
      <c r="D32" s="15" t="n">
        <v>75</v>
      </c>
      <c r="E32" s="31" t="s">
        <v>224</v>
      </c>
    </row>
    <row r="33" customFormat="false" ht="15" hidden="false" customHeight="false" outlineLevel="0" collapsed="false">
      <c r="B33" s="26" t="s">
        <v>71</v>
      </c>
      <c r="C33" s="49" t="n">
        <v>0.012</v>
      </c>
      <c r="D33" s="15" t="n">
        <v>270</v>
      </c>
      <c r="E33" s="31" t="s">
        <v>225</v>
      </c>
    </row>
    <row r="34" customFormat="false" ht="15" hidden="false" customHeight="false" outlineLevel="0" collapsed="false">
      <c r="B34" s="26" t="s">
        <v>63</v>
      </c>
      <c r="C34" s="49" t="n">
        <v>0.008</v>
      </c>
      <c r="D34" s="15" t="n">
        <v>360</v>
      </c>
      <c r="E34" s="31" t="s">
        <v>226</v>
      </c>
    </row>
    <row r="35" customFormat="false" ht="15" hidden="false" customHeight="false" outlineLevel="0" collapsed="false">
      <c r="B35" s="26" t="s">
        <v>104</v>
      </c>
      <c r="C35" s="49" t="n">
        <v>0.015</v>
      </c>
      <c r="D35" s="15" t="n">
        <v>250</v>
      </c>
      <c r="E35" s="31" t="s">
        <v>227</v>
      </c>
    </row>
    <row r="36" customFormat="false" ht="15" hidden="false" customHeight="false" outlineLevel="0" collapsed="false">
      <c r="B36" s="26" t="s">
        <v>101</v>
      </c>
      <c r="C36" s="49" t="n">
        <v>0.019</v>
      </c>
      <c r="D36" s="15" t="n">
        <v>114</v>
      </c>
      <c r="E36" s="31" t="s">
        <v>228</v>
      </c>
    </row>
    <row r="37" customFormat="false" ht="15" hidden="false" customHeight="false" outlineLevel="0" collapsed="false">
      <c r="B37" s="26" t="s">
        <v>143</v>
      </c>
      <c r="C37" s="49" t="n">
        <v>0.025</v>
      </c>
      <c r="D37" s="15" t="n">
        <v>115</v>
      </c>
      <c r="E37" s="31" t="s">
        <v>229</v>
      </c>
    </row>
    <row r="38" customFormat="false" ht="15" hidden="false" customHeight="false" outlineLevel="0" collapsed="false">
      <c r="B38" s="26" t="s">
        <v>230</v>
      </c>
      <c r="C38" s="49" t="n">
        <v>0.03</v>
      </c>
      <c r="D38" s="15" t="n">
        <v>90</v>
      </c>
      <c r="E38" s="31" t="s">
        <v>231</v>
      </c>
    </row>
    <row r="39" customFormat="false" ht="15" hidden="false" customHeight="false" outlineLevel="0" collapsed="false">
      <c r="B39" s="26" t="s">
        <v>232</v>
      </c>
      <c r="C39" s="49" t="n">
        <v>0.03</v>
      </c>
      <c r="D39" s="15" t="n">
        <v>116</v>
      </c>
      <c r="E39" s="31" t="s">
        <v>233</v>
      </c>
    </row>
    <row r="40" customFormat="false" ht="15" hidden="false" customHeight="false" outlineLevel="0" collapsed="false">
      <c r="B40" s="26" t="s">
        <v>115</v>
      </c>
      <c r="C40" s="49" t="n">
        <v>0.02</v>
      </c>
      <c r="D40" s="15" t="n">
        <v>175</v>
      </c>
      <c r="E40" s="31" t="s">
        <v>234</v>
      </c>
    </row>
    <row r="41" customFormat="false" ht="15" hidden="false" customHeight="false" outlineLevel="0" collapsed="false">
      <c r="B41" s="26" t="s">
        <v>235</v>
      </c>
      <c r="C41" s="49" t="n">
        <v>0.02</v>
      </c>
      <c r="D41" s="15" t="n">
        <v>500</v>
      </c>
      <c r="E41" s="31" t="s">
        <v>234</v>
      </c>
    </row>
    <row r="42" customFormat="false" ht="15" hidden="false" customHeight="false" outlineLevel="0" collapsed="false">
      <c r="B42" s="26" t="s">
        <v>132</v>
      </c>
      <c r="C42" s="50" t="n">
        <f aca="false">$C$19</f>
        <v>0.02</v>
      </c>
      <c r="D42" s="24" t="n">
        <f aca="false">$C$20</f>
        <v>130</v>
      </c>
      <c r="E42" s="31" t="s">
        <v>236</v>
      </c>
    </row>
    <row r="44" customFormat="false" ht="15" hidden="false" customHeight="false" outlineLevel="0" collapsed="false">
      <c r="B44" s="31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2026-10-05T00:30:56Z</dcterms:created>
  <dc:creator>openpyxl</dc:creator>
  <dc:description/>
  <dc:language>en-US</dc:language>
  <cp:lastModifiedBy/>
  <dcterms:modified xsi:type="dcterms:W3CDTF">2026-10-05T00:30:56Z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